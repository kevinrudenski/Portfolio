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de\Desktop\"/>
    </mc:Choice>
  </mc:AlternateContent>
  <xr:revisionPtr revIDLastSave="0" documentId="13_ncr:1_{4D3A7F6D-B9D5-475D-9720-B71AE7721436}" xr6:coauthVersionLast="47" xr6:coauthVersionMax="47" xr10:uidLastSave="{00000000-0000-0000-0000-000000000000}"/>
  <bookViews>
    <workbookView xWindow="28680" yWindow="-120" windowWidth="29040" windowHeight="15720" tabRatio="749" xr2:uid="{7B030883-9096-4915-BAE4-835098BC8AEF}"/>
  </bookViews>
  <sheets>
    <sheet name="Assumptions" sheetId="2" r:id="rId1"/>
    <sheet name="Income Statement" sheetId="3" r:id="rId2"/>
    <sheet name="Balance Sheet" sheetId="4" r:id="rId3"/>
    <sheet name="Cash Flow Statement" sheetId="5" r:id="rId4"/>
    <sheet name="Supporting Schedules" sheetId="6" r:id="rId5"/>
    <sheet name="Summary" sheetId="7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A19" i="7" a="1"/>
  <c r="A19" i="7" s="1"/>
  <c r="B13" i="7" a="1"/>
  <c r="B13" i="7" s="1"/>
  <c r="D11" i="6"/>
  <c r="M3" i="2"/>
  <c r="L3" i="2"/>
  <c r="K3" i="2"/>
  <c r="J3" i="2"/>
  <c r="I3" i="2"/>
  <c r="H3" i="2"/>
  <c r="G3" i="2"/>
  <c r="F3" i="2"/>
  <c r="E3" i="2"/>
  <c r="M13" i="3"/>
  <c r="L13" i="3"/>
  <c r="K13" i="3"/>
  <c r="J13" i="3"/>
  <c r="I13" i="3"/>
  <c r="I27" i="6"/>
  <c r="H27" i="6"/>
  <c r="G27" i="6"/>
  <c r="F27" i="6"/>
  <c r="E27" i="6"/>
  <c r="D27" i="6"/>
  <c r="I26" i="6"/>
  <c r="H26" i="6"/>
  <c r="G26" i="6"/>
  <c r="F26" i="6"/>
  <c r="E26" i="6"/>
  <c r="D26" i="6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B6" i="7"/>
  <c r="B12" i="7"/>
  <c r="B11" i="7"/>
  <c r="B10" i="7"/>
  <c r="H23" i="6"/>
  <c r="G23" i="6"/>
  <c r="F23" i="6"/>
  <c r="E23" i="6"/>
  <c r="D23" i="6"/>
  <c r="M21" i="6"/>
  <c r="L21" i="6"/>
  <c r="L17" i="5" s="1"/>
  <c r="K21" i="6"/>
  <c r="K17" i="5" s="1"/>
  <c r="K19" i="5" s="1"/>
  <c r="K31" i="2" s="1"/>
  <c r="J21" i="6"/>
  <c r="J17" i="5" s="1"/>
  <c r="J19" i="5" s="1"/>
  <c r="J31" i="2" s="1"/>
  <c r="I21" i="6"/>
  <c r="I17" i="5" s="1"/>
  <c r="I19" i="5" s="1"/>
  <c r="I31" i="2" s="1"/>
  <c r="H21" i="6"/>
  <c r="G21" i="6"/>
  <c r="F21" i="6"/>
  <c r="E21" i="6"/>
  <c r="D21" i="6"/>
  <c r="D22" i="6" s="1"/>
  <c r="E20" i="6" s="1"/>
  <c r="E22" i="6" s="1"/>
  <c r="F20" i="6" s="1"/>
  <c r="F22" i="6" s="1"/>
  <c r="G20" i="6" s="1"/>
  <c r="G22" i="6" s="1"/>
  <c r="H20" i="6" s="1"/>
  <c r="H22" i="6" s="1"/>
  <c r="I20" i="6" s="1"/>
  <c r="H16" i="6"/>
  <c r="G16" i="6"/>
  <c r="F16" i="6"/>
  <c r="E16" i="6"/>
  <c r="D16" i="6"/>
  <c r="D17" i="6" s="1"/>
  <c r="E14" i="6" s="1"/>
  <c r="E17" i="6" s="1"/>
  <c r="F14" i="6" s="1"/>
  <c r="F17" i="6" s="1"/>
  <c r="G14" i="6" s="1"/>
  <c r="G17" i="6" s="1"/>
  <c r="H14" i="6" s="1"/>
  <c r="H17" i="6" s="1"/>
  <c r="I14" i="6" s="1"/>
  <c r="M15" i="6"/>
  <c r="M13" i="5" s="1"/>
  <c r="M14" i="5" s="1"/>
  <c r="M30" i="2" s="1"/>
  <c r="L15" i="6"/>
  <c r="L13" i="5" s="1"/>
  <c r="L14" i="5" s="1"/>
  <c r="L30" i="2" s="1"/>
  <c r="K15" i="6"/>
  <c r="K13" i="5" s="1"/>
  <c r="K14" i="5" s="1"/>
  <c r="K30" i="2" s="1"/>
  <c r="J15" i="6"/>
  <c r="J13" i="5" s="1"/>
  <c r="J14" i="5" s="1"/>
  <c r="J30" i="2" s="1"/>
  <c r="I15" i="6"/>
  <c r="H15" i="6"/>
  <c r="G15" i="6"/>
  <c r="F15" i="6"/>
  <c r="E15" i="6"/>
  <c r="D15" i="6"/>
  <c r="G10" i="6"/>
  <c r="G11" i="6" s="1"/>
  <c r="H9" i="6"/>
  <c r="G9" i="6"/>
  <c r="F9" i="6"/>
  <c r="E9" i="6"/>
  <c r="D9" i="6"/>
  <c r="H8" i="6"/>
  <c r="G8" i="6"/>
  <c r="F8" i="6"/>
  <c r="E8" i="6"/>
  <c r="D8" i="6"/>
  <c r="H7" i="6"/>
  <c r="H10" i="6" s="1"/>
  <c r="H11" i="6" s="1"/>
  <c r="G7" i="6"/>
  <c r="F7" i="6"/>
  <c r="F10" i="6" s="1"/>
  <c r="E7" i="6"/>
  <c r="E10" i="6" s="1"/>
  <c r="E11" i="6" s="1"/>
  <c r="D7" i="6"/>
  <c r="D10" i="6" s="1"/>
  <c r="F21" i="5"/>
  <c r="E21" i="5"/>
  <c r="H19" i="5"/>
  <c r="G19" i="5"/>
  <c r="F19" i="5"/>
  <c r="E19" i="5"/>
  <c r="D19" i="5"/>
  <c r="M18" i="5"/>
  <c r="L18" i="5"/>
  <c r="K18" i="5"/>
  <c r="J18" i="5"/>
  <c r="I18" i="5"/>
  <c r="I18" i="4" s="1"/>
  <c r="J18" i="4" s="1"/>
  <c r="M17" i="5"/>
  <c r="H14" i="5"/>
  <c r="G14" i="5"/>
  <c r="G21" i="5" s="1"/>
  <c r="F14" i="5"/>
  <c r="F30" i="2" s="1"/>
  <c r="E14" i="5"/>
  <c r="D14" i="5"/>
  <c r="D30" i="2" s="1"/>
  <c r="I13" i="5"/>
  <c r="I14" i="5" s="1"/>
  <c r="I30" i="2" s="1"/>
  <c r="H10" i="5"/>
  <c r="H21" i="5" s="1"/>
  <c r="G10" i="5"/>
  <c r="F10" i="5"/>
  <c r="F29" i="2" s="1"/>
  <c r="E10" i="5"/>
  <c r="D10" i="5"/>
  <c r="E21" i="4"/>
  <c r="E23" i="4" s="1"/>
  <c r="H20" i="4"/>
  <c r="H21" i="4" s="1"/>
  <c r="H23" i="4" s="1"/>
  <c r="G20" i="4"/>
  <c r="F20" i="4"/>
  <c r="F21" i="4" s="1"/>
  <c r="F23" i="4" s="1"/>
  <c r="E20" i="4"/>
  <c r="D20" i="4"/>
  <c r="D21" i="4" s="1"/>
  <c r="D23" i="4" s="1"/>
  <c r="H16" i="4"/>
  <c r="G16" i="4"/>
  <c r="G21" i="4" s="1"/>
  <c r="G23" i="4" s="1"/>
  <c r="F16" i="4"/>
  <c r="E16" i="4"/>
  <c r="D16" i="4"/>
  <c r="H11" i="4"/>
  <c r="G11" i="4"/>
  <c r="F11" i="4"/>
  <c r="E11" i="4"/>
  <c r="D11" i="4"/>
  <c r="H15" i="3"/>
  <c r="G15" i="3"/>
  <c r="F15" i="3"/>
  <c r="E15" i="3"/>
  <c r="D15" i="3"/>
  <c r="M11" i="3"/>
  <c r="L11" i="3"/>
  <c r="K11" i="3"/>
  <c r="J11" i="3"/>
  <c r="I11" i="3"/>
  <c r="H8" i="3"/>
  <c r="H27" i="2" s="1"/>
  <c r="B9" i="7" s="1"/>
  <c r="G8" i="3"/>
  <c r="F8" i="3"/>
  <c r="E8" i="3"/>
  <c r="E27" i="2" s="1"/>
  <c r="D8" i="3"/>
  <c r="I6" i="3"/>
  <c r="I10" i="3" s="1"/>
  <c r="E2" i="6"/>
  <c r="F2" i="6" s="1"/>
  <c r="G2" i="6" s="1"/>
  <c r="H2" i="6" s="1"/>
  <c r="I2" i="6" s="1"/>
  <c r="J2" i="6" s="1"/>
  <c r="K2" i="6" s="1"/>
  <c r="L2" i="6" s="1"/>
  <c r="M2" i="6" s="1"/>
  <c r="E2" i="5"/>
  <c r="F2" i="5" s="1"/>
  <c r="G2" i="5" s="1"/>
  <c r="H2" i="5" s="1"/>
  <c r="I2" i="5" s="1"/>
  <c r="J2" i="5" s="1"/>
  <c r="K2" i="5" s="1"/>
  <c r="L2" i="5" s="1"/>
  <c r="M2" i="5" s="1"/>
  <c r="E2" i="4"/>
  <c r="F2" i="4" s="1"/>
  <c r="G2" i="4" s="1"/>
  <c r="H2" i="4" s="1"/>
  <c r="I2" i="4" s="1"/>
  <c r="J2" i="4" s="1"/>
  <c r="K2" i="4" s="1"/>
  <c r="L2" i="4" s="1"/>
  <c r="M2" i="4" s="1"/>
  <c r="E2" i="3"/>
  <c r="F2" i="3" s="1"/>
  <c r="G2" i="3" s="1"/>
  <c r="H2" i="3" s="1"/>
  <c r="I2" i="3" s="1"/>
  <c r="J2" i="3" s="1"/>
  <c r="K2" i="3" s="1"/>
  <c r="L2" i="3" s="1"/>
  <c r="M2" i="3" s="1"/>
  <c r="E8" i="2"/>
  <c r="D31" i="2"/>
  <c r="E30" i="2"/>
  <c r="D27" i="2"/>
  <c r="H26" i="2"/>
  <c r="G26" i="2"/>
  <c r="F26" i="2"/>
  <c r="E26" i="2"/>
  <c r="D26" i="2"/>
  <c r="H31" i="2"/>
  <c r="G31" i="2"/>
  <c r="F31" i="2"/>
  <c r="E31" i="2"/>
  <c r="H30" i="2"/>
  <c r="G30" i="2"/>
  <c r="G27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2" i="2"/>
  <c r="F2" i="2" s="1"/>
  <c r="G2" i="2" s="1"/>
  <c r="H2" i="2" s="1"/>
  <c r="I2" i="2" s="1"/>
  <c r="J2" i="2" s="1"/>
  <c r="K2" i="2" s="1"/>
  <c r="L2" i="2" s="1"/>
  <c r="M2" i="2" s="1"/>
  <c r="F16" i="3" l="1"/>
  <c r="G16" i="3"/>
  <c r="G19" i="3" s="1"/>
  <c r="D16" i="3"/>
  <c r="D15" i="2" s="1"/>
  <c r="E16" i="3"/>
  <c r="H16" i="3"/>
  <c r="H19" i="3" s="1"/>
  <c r="B8" i="7" s="1"/>
  <c r="K18" i="4"/>
  <c r="I7" i="3"/>
  <c r="I9" i="4" s="1"/>
  <c r="I8" i="6" s="1"/>
  <c r="M19" i="5"/>
  <c r="M31" i="2" s="1"/>
  <c r="L19" i="5"/>
  <c r="L31" i="2" s="1"/>
  <c r="I16" i="6"/>
  <c r="I8" i="5" s="1"/>
  <c r="I12" i="3" s="1"/>
  <c r="F15" i="2"/>
  <c r="F19" i="3"/>
  <c r="F11" i="6"/>
  <c r="I22" i="6"/>
  <c r="D19" i="3"/>
  <c r="E15" i="2"/>
  <c r="E19" i="3"/>
  <c r="L18" i="4"/>
  <c r="J6" i="3"/>
  <c r="D21" i="5"/>
  <c r="D23" i="5" s="1"/>
  <c r="E22" i="5" s="1"/>
  <c r="E23" i="5" s="1"/>
  <c r="F22" i="5" s="1"/>
  <c r="F23" i="5" s="1"/>
  <c r="G22" i="5" s="1"/>
  <c r="G23" i="5" s="1"/>
  <c r="H22" i="5" s="1"/>
  <c r="H23" i="5" s="1"/>
  <c r="I22" i="5" s="1"/>
  <c r="I14" i="4"/>
  <c r="I8" i="4"/>
  <c r="I7" i="6" s="1"/>
  <c r="F27" i="2"/>
  <c r="D29" i="2"/>
  <c r="E29" i="2"/>
  <c r="G29" i="2"/>
  <c r="H29" i="2"/>
  <c r="G15" i="2"/>
  <c r="H15" i="2"/>
  <c r="I26" i="2"/>
  <c r="I8" i="3" l="1"/>
  <c r="I9" i="6"/>
  <c r="M18" i="4"/>
  <c r="J8" i="4"/>
  <c r="J7" i="6" s="1"/>
  <c r="J10" i="3"/>
  <c r="K6" i="3"/>
  <c r="J7" i="3"/>
  <c r="J8" i="3" s="1"/>
  <c r="I17" i="6"/>
  <c r="J20" i="6"/>
  <c r="I15" i="4"/>
  <c r="I16" i="4" s="1"/>
  <c r="I10" i="6"/>
  <c r="I11" i="6" s="1"/>
  <c r="I9" i="5" s="1"/>
  <c r="I23" i="6"/>
  <c r="I14" i="3" s="1"/>
  <c r="I15" i="3" s="1"/>
  <c r="I16" i="3" s="1"/>
  <c r="J26" i="2"/>
  <c r="I18" i="3" l="1"/>
  <c r="I19" i="3" s="1"/>
  <c r="J22" i="6"/>
  <c r="J23" i="6" s="1"/>
  <c r="J14" i="3" s="1"/>
  <c r="K10" i="3"/>
  <c r="K8" i="4"/>
  <c r="K7" i="6" s="1"/>
  <c r="L6" i="3"/>
  <c r="K7" i="3"/>
  <c r="K8" i="3" s="1"/>
  <c r="J9" i="4"/>
  <c r="J8" i="6" s="1"/>
  <c r="J14" i="4"/>
  <c r="I10" i="4"/>
  <c r="J14" i="6"/>
  <c r="I27" i="2"/>
  <c r="J27" i="2"/>
  <c r="K26" i="2"/>
  <c r="I19" i="4" l="1"/>
  <c r="I7" i="5"/>
  <c r="I10" i="5" s="1"/>
  <c r="I21" i="5" s="1"/>
  <c r="I23" i="5" s="1"/>
  <c r="L10" i="3"/>
  <c r="L8" i="4"/>
  <c r="L7" i="6" s="1"/>
  <c r="L7" i="3"/>
  <c r="L8" i="3" s="1"/>
  <c r="M6" i="3"/>
  <c r="C6" i="7" s="1"/>
  <c r="J16" i="6"/>
  <c r="J8" i="5" s="1"/>
  <c r="J12" i="3" s="1"/>
  <c r="J15" i="3" s="1"/>
  <c r="J16" i="3" s="1"/>
  <c r="J9" i="6"/>
  <c r="J10" i="6" s="1"/>
  <c r="J11" i="6" s="1"/>
  <c r="J9" i="5" s="1"/>
  <c r="K9" i="4"/>
  <c r="K8" i="6" s="1"/>
  <c r="K14" i="4"/>
  <c r="K20" i="6"/>
  <c r="J15" i="4"/>
  <c r="J16" i="4" s="1"/>
  <c r="K27" i="2"/>
  <c r="L26" i="2"/>
  <c r="D6" i="7" l="1"/>
  <c r="C7" i="7"/>
  <c r="A16" i="7" s="1"/>
  <c r="J17" i="6"/>
  <c r="J18" i="3"/>
  <c r="J19" i="3" s="1"/>
  <c r="M10" i="3"/>
  <c r="M8" i="4"/>
  <c r="M7" i="6" s="1"/>
  <c r="M7" i="3"/>
  <c r="M8" i="3" s="1"/>
  <c r="K22" i="6"/>
  <c r="J10" i="4"/>
  <c r="K14" i="6"/>
  <c r="I20" i="4"/>
  <c r="I21" i="4" s="1"/>
  <c r="L9" i="4"/>
  <c r="L8" i="6" s="1"/>
  <c r="L14" i="4"/>
  <c r="K9" i="6"/>
  <c r="K10" i="6" s="1"/>
  <c r="K11" i="6" s="1"/>
  <c r="K9" i="5" s="1"/>
  <c r="J22" i="5"/>
  <c r="J26" i="6" s="1"/>
  <c r="J27" i="6" s="1"/>
  <c r="I7" i="4"/>
  <c r="I11" i="4" s="1"/>
  <c r="M26" i="2"/>
  <c r="L27" i="2"/>
  <c r="J7" i="5" l="1"/>
  <c r="J10" i="5" s="1"/>
  <c r="J21" i="5" s="1"/>
  <c r="J23" i="5" s="1"/>
  <c r="J19" i="4"/>
  <c r="I23" i="4"/>
  <c r="K15" i="4"/>
  <c r="K16" i="4" s="1"/>
  <c r="L20" i="6"/>
  <c r="M9" i="4"/>
  <c r="M8" i="6" s="1"/>
  <c r="M14" i="4"/>
  <c r="K23" i="6"/>
  <c r="K14" i="3" s="1"/>
  <c r="L9" i="6"/>
  <c r="L10" i="6" s="1"/>
  <c r="L11" i="6" s="1"/>
  <c r="L9" i="5" s="1"/>
  <c r="K16" i="6"/>
  <c r="K8" i="5" s="1"/>
  <c r="K12" i="3" s="1"/>
  <c r="K15" i="3" s="1"/>
  <c r="K16" i="3" s="1"/>
  <c r="J29" i="2"/>
  <c r="M27" i="2"/>
  <c r="C9" i="7" s="1"/>
  <c r="D9" i="7" s="1"/>
  <c r="I29" i="2"/>
  <c r="K17" i="6" l="1"/>
  <c r="M9" i="6"/>
  <c r="M10" i="6" s="1"/>
  <c r="M11" i="6" s="1"/>
  <c r="M9" i="5" s="1"/>
  <c r="K18" i="3"/>
  <c r="K19" i="3" s="1"/>
  <c r="L22" i="6"/>
  <c r="K22" i="5"/>
  <c r="K26" i="6" s="1"/>
  <c r="K27" i="6" s="1"/>
  <c r="J7" i="4"/>
  <c r="J11" i="4" s="1"/>
  <c r="J20" i="4"/>
  <c r="J21" i="4" s="1"/>
  <c r="J23" i="4" l="1"/>
  <c r="K7" i="5"/>
  <c r="K10" i="5" s="1"/>
  <c r="K21" i="5" s="1"/>
  <c r="K23" i="5" s="1"/>
  <c r="K19" i="4"/>
  <c r="L15" i="4"/>
  <c r="L16" i="4" s="1"/>
  <c r="M20" i="6"/>
  <c r="L23" i="6"/>
  <c r="L14" i="3" s="1"/>
  <c r="K10" i="4"/>
  <c r="L14" i="6"/>
  <c r="L16" i="6" l="1"/>
  <c r="L8" i="5" s="1"/>
  <c r="L12" i="3" s="1"/>
  <c r="L15" i="3" s="1"/>
  <c r="L16" i="3" s="1"/>
  <c r="M22" i="6"/>
  <c r="M15" i="4" s="1"/>
  <c r="K20" i="4"/>
  <c r="K21" i="4" s="1"/>
  <c r="L22" i="5"/>
  <c r="L26" i="6" s="1"/>
  <c r="L27" i="6" s="1"/>
  <c r="K7" i="4"/>
  <c r="K11" i="4" s="1"/>
  <c r="K29" i="2"/>
  <c r="M16" i="4" l="1"/>
  <c r="C11" i="7"/>
  <c r="D11" i="7" s="1"/>
  <c r="K23" i="4"/>
  <c r="L18" i="3"/>
  <c r="L19" i="3" s="1"/>
  <c r="M23" i="6"/>
  <c r="M14" i="3" s="1"/>
  <c r="L17" i="6"/>
  <c r="L7" i="5" l="1"/>
  <c r="L10" i="5" s="1"/>
  <c r="L21" i="5" s="1"/>
  <c r="L23" i="5" s="1"/>
  <c r="L19" i="4"/>
  <c r="L10" i="4"/>
  <c r="M14" i="6"/>
  <c r="L29" i="2" l="1"/>
  <c r="M16" i="6"/>
  <c r="M8" i="5" s="1"/>
  <c r="M12" i="3" s="1"/>
  <c r="M15" i="3" s="1"/>
  <c r="M16" i="3" s="1"/>
  <c r="L20" i="4"/>
  <c r="L21" i="4" s="1"/>
  <c r="M22" i="5"/>
  <c r="M26" i="6" s="1"/>
  <c r="M27" i="6" s="1"/>
  <c r="L7" i="4"/>
  <c r="L11" i="4" s="1"/>
  <c r="M18" i="3" l="1"/>
  <c r="M19" i="3" s="1"/>
  <c r="C8" i="7" s="1"/>
  <c r="D8" i="7" s="1"/>
  <c r="A17" i="7" s="1"/>
  <c r="L23" i="4"/>
  <c r="M17" i="6"/>
  <c r="M10" i="4" s="1"/>
  <c r="M7" i="5" l="1"/>
  <c r="M10" i="5" s="1"/>
  <c r="M19" i="4"/>
  <c r="M20" i="4" s="1"/>
  <c r="M21" i="4" s="1"/>
  <c r="M21" i="5" l="1"/>
  <c r="M29" i="2"/>
  <c r="M23" i="5" l="1"/>
  <c r="C10" i="7" s="1"/>
  <c r="D10" i="7" s="1"/>
  <c r="M7" i="4" l="1"/>
  <c r="M11" i="4" s="1"/>
  <c r="C12" i="7" l="1"/>
  <c r="D12" i="7" s="1"/>
  <c r="M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Rudenski</author>
  </authors>
  <commentList>
    <comment ref="A13" authorId="0" shapeId="0" xr:uid="{4FC5A6CF-843B-49BA-A902-5DC006295383}">
      <text>
        <r>
          <rPr>
            <b/>
            <sz val="9"/>
            <color indexed="81"/>
            <rFont val="Tahoma"/>
            <family val="2"/>
          </rPr>
          <t>Kevin Rudenski:</t>
        </r>
        <r>
          <rPr>
            <sz val="9"/>
            <color indexed="81"/>
            <rFont val="Tahoma"/>
            <family val="2"/>
          </rPr>
          <t xml:space="preserve">
Interest earned on the opening cash balance. Opening (not average/closing) cash is used deliberately so the model stays non-circular: interest income feeds net earnings, which feeds closing cash. Historical statements recognized no interest income, so 2021-2025 are zero. Driver: Assumptions!14 (Interest Income % of Opening Cash). Schedule: 'Supporting Schedules'!27.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Rudenski</author>
    <author/>
  </authors>
  <commentList>
    <comment ref="D11" authorId="0" shapeId="0" xr:uid="{A2FD73ED-E5DB-4E5A-8ECA-C373158B53C4}">
      <text>
        <r>
          <rPr>
            <b/>
            <sz val="9"/>
            <color indexed="81"/>
            <rFont val="Tahoma"/>
            <family val="2"/>
          </rPr>
          <t>Kevin Rudenski:</t>
        </r>
        <r>
          <rPr>
            <sz val="9"/>
            <color indexed="81"/>
            <rFont val="Tahoma"/>
            <family val="2"/>
          </rPr>
          <t xml:space="preserve">
2021 is the first year in the model, so there is no prior-year NWC balance to difference against. The previous formula (=D10-C10) referenced empty column C and silently returned the full NWC balance as if it were the change. It now returns "n/a". The 2021 change in working capital used by the cash flow statement is a hardcoded historical actual.</t>
        </r>
      </text>
    </comment>
    <comment ref="A20" authorId="1" shapeId="0" xr:uid="{57CA91E8-9BC0-4F7B-B8D8-4127F1134196}">
      <text>
        <r>
          <rPr>
            <sz val="11"/>
            <color theme="1"/>
            <rFont val="Aptos Narrow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Rudenski</author>
  </authors>
  <commentList>
    <comment ref="B13" authorId="0" shapeId="0" xr:uid="{7F38106D-E371-4EBD-9D38-71F4C4658282}">
      <text>
        <r>
          <rPr>
            <b/>
            <sz val="9"/>
            <color indexed="81"/>
            <rFont val="Tahoma"/>
            <family val="2"/>
          </rPr>
          <t>Kevin Rudenski:</t>
        </r>
        <r>
          <rPr>
            <sz val="9"/>
            <color indexed="81"/>
            <rFont val="Tahoma"/>
            <family val="2"/>
          </rPr>
          <t xml:space="preserve">
Sum of absolute balance-sheet check differences across all 10 years. Returns "CHECK BROKEN" if any check cell is non-numeric, rather than silently reporting zero.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<sst xmlns="http://schemas.openxmlformats.org/spreadsheetml/2006/main" count="118" uniqueCount="100">
  <si>
    <t>Assumptions</t>
  </si>
  <si>
    <t>Key Assumptions</t>
  </si>
  <si>
    <t>Revenue Growth (% Change)</t>
  </si>
  <si>
    <t>Cost of Goods Sold (% of Revenue)</t>
  </si>
  <si>
    <t>Salaries and Benefits (% of Revenue)</t>
  </si>
  <si>
    <t>Rent and Overhead ($000's)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</si>
  <si>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</si>
  <si>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</si>
  <si>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</si>
  <si>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</si>
  <si>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</si>
  <si>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</si>
  <si>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</si>
  <si>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</si>
  <si>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Historical Results</t>
  </si>
  <si>
    <t xml:space="preserve"> Forecast Period</t>
  </si>
  <si>
    <t>Balance Sheet Check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</si>
  <si>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</si>
  <si>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</si>
  <si>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</si>
  <si>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</si>
  <si>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</si>
  <si>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</si>
  <si>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</si>
  <si>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</si>
  <si>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</si>
  <si>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</si>
  <si>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</si>
  <si>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</si>
  <si>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</si>
  <si>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</si>
  <si>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</si>
  <si>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</si>
  <si>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</si>
  <si>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</si>
  <si>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</si>
  <si>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</si>
  <si>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</si>
  <si>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</si>
  <si>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</si>
  <si>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</si>
  <si>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</si>
  <si>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</si>
  <si>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</si>
  <si>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</si>
  <si>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</si>
  <si>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</si>
  <si>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</si>
  <si>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</si>
  <si>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</si>
  <si>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</si>
  <si>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</si>
  <si>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</si>
  <si>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</si>
  <si>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</si>
  <si>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</si>
  <si>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</si>
  <si>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</si>
  <si>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</si>
  <si>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</si>
  <si>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</si>
  <si>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</si>
  <si>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</si>
  <si>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</si>
  <si>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</si>
  <si>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</si>
  <si>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</si>
  <si>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</si>
  <si>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</si>
  <si>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</si>
  <si>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</si>
  <si>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</si>
  <si>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</si>
  <si>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</si>
  <si>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</si>
  <si>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</si>
  <si>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Executive Summary</t>
  </si>
  <si>
    <t>5-Year Forecast Overview (2026-2030)</t>
  </si>
  <si>
    <t>Key Metrics</t>
  </si>
  <si>
    <t>Metric</t>
  </si>
  <si>
    <t>2025 (Last Actual)</t>
  </si>
  <si>
    <t>2030 (Forecast)</t>
  </si>
  <si>
    <t>Change</t>
  </si>
  <si>
    <t>Revenue ($000's)</t>
  </si>
  <si>
    <t>Net Earnings ($000's)</t>
  </si>
  <si>
    <t>Gross Profit Margin</t>
  </si>
  <si>
    <t>Ending Cash ($000's)</t>
  </si>
  <si>
    <t>Total Debt ($000's)</t>
  </si>
  <si>
    <t>Total Assets ($000's)</t>
  </si>
  <si>
    <t>Balance Sheet Check (should be 0)</t>
  </si>
  <si>
    <t>Key Takeaways</t>
  </si>
  <si>
    <t>• The balance sheet strengthens over time: debt is paid down while cash builds up.</t>
  </si>
  <si>
    <t>Depreciation &amp; Amortization (% of Opening PP&amp;E)</t>
  </si>
  <si>
    <t>Interest Expense (% of Average Debt)</t>
  </si>
  <si>
    <t>Interest Income (% of Opening Cash)</t>
  </si>
  <si>
    <t>Cash &amp; Interest Income Schedule</t>
  </si>
  <si>
    <t>Cash Opening</t>
  </si>
  <si>
    <t>Interest Income</t>
  </si>
  <si>
    <t>Less: Interest Income</t>
  </si>
  <si>
    <t>Revenue CAGR (2025-2030, 5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</si>
</sst>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0.0000"/>
  </numFmts>
  <fonts count="3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2"/>
      <color theme="0"/>
      <name val="Arial Narrow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i/>
      <sz val="10"/>
      <color theme="1"/>
      <name val="Arial Narrow"/>
      <family val="2"/>
    </font>
    <font>
      <sz val="8"/>
      <color theme="0"/>
      <name val="Arial Narrow"/>
      <family val="2"/>
    </font>
    <font>
      <b/>
      <sz val="16"/>
      <color theme="0"/>
      <name val="Arial Narrow"/>
      <family val="2"/>
    </font>
    <font>
      <sz val="14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1F9D77"/>
      <name val="Open Sans"/>
      <family val="2"/>
    </font>
    <font>
      <b/>
      <sz val="16"/>
      <color rgb="FFFFFFFF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8000"/>
      <name val="Aptos Narrow"/>
      <family val="2"/>
      <scheme val="minor"/>
    </font>
    <font>
      <i/>
      <sz val="11"/>
      <color theme="1"/>
      <name val="Arial Narrow"/>
      <family val="2"/>
    </font>
    <font>
      <i/>
      <sz val="11"/>
      <color theme="1"/>
      <name val="Aptos Narrow"/>
      <family val="2"/>
      <scheme val="minor"/>
    </font>
    <font>
      <b/>
      <sz val="14"/>
      <color rgb="FF156D52"/>
      <name val="Open Sans"/>
      <family val="2"/>
    </font>
    <font>
      <b/>
      <sz val="14"/>
      <color theme="1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6324A"/>
        <bgColor indexed="64"/>
      </patternFill>
    </fill>
    <fill>
      <patternFill patternType="solid">
        <fgColor rgb="FFE3F5EF"/>
        <bgColor indexed="64"/>
      </patternFill>
    </fill>
    <fill>
      <patternFill patternType="solid">
        <fgColor rgb="FF8DD7BE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164" fontId="1" fillId="0" borderId="1" xfId="0" applyNumberFormat="1" applyFont="1" applyBorder="1"/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right"/>
    </xf>
    <xf numFmtId="164" fontId="13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4" fillId="0" borderId="0" xfId="0" applyNumberFormat="1" applyFont="1"/>
    <xf numFmtId="166" fontId="1" fillId="0" borderId="0" xfId="0" applyNumberFormat="1" applyFont="1"/>
    <xf numFmtId="9" fontId="14" fillId="0" borderId="0" xfId="0" applyNumberFormat="1" applyFont="1"/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164" fontId="3" fillId="0" borderId="3" xfId="0" applyNumberFormat="1" applyFont="1" applyBorder="1"/>
    <xf numFmtId="164" fontId="3" fillId="0" borderId="3" xfId="0" applyNumberFormat="1" applyFont="1" applyBorder="1" applyAlignment="1">
      <alignment horizontal="center"/>
    </xf>
    <xf numFmtId="0" fontId="15" fillId="0" borderId="0" xfId="0" applyFont="1"/>
    <xf numFmtId="167" fontId="1" fillId="0" borderId="0" xfId="0" applyNumberFormat="1" applyFont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8" fontId="4" fillId="0" borderId="0" xfId="0" applyNumberFormat="1" applyFont="1"/>
    <xf numFmtId="168" fontId="4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0" xfId="0" applyNumberFormat="1" applyFont="1"/>
    <xf numFmtId="164" fontId="11" fillId="2" borderId="0" xfId="0" applyNumberFormat="1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164" fontId="12" fillId="2" borderId="0" xfId="0" applyNumberFormat="1" applyFont="1" applyFill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0" fontId="8" fillId="3" borderId="0" xfId="0" applyFont="1" applyFill="1"/>
    <xf numFmtId="0" fontId="17" fillId="2" borderId="0" xfId="0" applyFont="1" applyFill="1"/>
    <xf numFmtId="0" fontId="0" fillId="2" borderId="0" xfId="0" applyFill="1"/>
    <xf numFmtId="0" fontId="10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3" fontId="20" fillId="0" borderId="0" xfId="0" applyNumberFormat="1" applyFont="1"/>
    <xf numFmtId="165" fontId="0" fillId="0" borderId="0" xfId="0" applyNumberFormat="1"/>
    <xf numFmtId="165" fontId="20" fillId="0" borderId="0" xfId="0" applyNumberFormat="1" applyFont="1"/>
    <xf numFmtId="0" fontId="21" fillId="0" borderId="0" xfId="0" applyFont="1"/>
    <xf numFmtId="169" fontId="22" fillId="0" borderId="0" xfId="0" applyNumberFormat="1" applyFont="1"/>
    <xf numFmtId="0" fontId="16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center"/>
    </xf>
    <xf numFmtId="0" fontId="6" fillId="3" borderId="0" xfId="0" applyFont="1" applyFill="1"/>
    <xf numFmtId="164" fontId="7" fillId="2" borderId="0" xfId="0" applyNumberFormat="1" applyFont="1" applyFill="1" applyAlignment="1">
      <alignment horizontal="center"/>
    </xf>
    <xf numFmtId="0" fontId="6" fillId="2" borderId="0" xfId="0" applyFont="1" applyFill="1"/>
    <xf numFmtId="164" fontId="29" fillId="0" borderId="0" xfId="0" applyNumberFormat="1" applyFont="1"/>
    <xf numFmtId="164" fontId="30" fillId="0" borderId="0" xfId="0" applyNumberFormat="1" applyFont="1"/>
    <xf numFmtId="164" fontId="30" fillId="0" borderId="0" xfId="0" applyNumberFormat="1" applyFont="1" applyAlignment="1">
      <alignment horizontal="center"/>
    </xf>
    <xf numFmtId="0" fontId="30" fillId="0" borderId="0" xfId="0" applyFont="1"/>
    <xf numFmtId="49" fontId="27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B3729"/>
      <color rgb="FF88D4BB"/>
      <color rgb="FF10543F"/>
      <color rgb="FF44BC94"/>
      <color rgb="FF8DD7BE"/>
      <color rgb="FF156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v>Revenue</c:v>
          </c:tx>
          <c:invertIfNegative val="1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Assumptions!$D$26:$M$26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6-49AC-841C-4F663264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v>Gross Profit Margin (%)</c:v>
          </c:tx>
          <c:marker>
            <c:symbol val="none"/>
          </c:marker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Assumptions!$D$27:$M$27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0.52</c:v>
                </c:pt>
                <c:pt idx="9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6-49AC-841C-4F663264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Cash Flow</a:t>
            </a:r>
          </a:p>
        </c:rich>
      </c:tx>
      <c:layout>
        <c:manualLayout>
          <c:xMode val="edge"/>
          <c:yMode val="edge"/>
          <c:x val="0.44046638265040217"/>
          <c:y val="9.0580980366743377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clustered"/>
        <c:varyColors val="1"/>
        <c:ser>
          <c:idx val="1"/>
          <c:order val="0"/>
          <c:tx>
            <c:v>Operating Cash Flow</c:v>
          </c:tx>
          <c:spPr>
            <a:solidFill>
              <a:srgbClr val="E97132"/>
            </a:solidFill>
            <a:ln>
              <a:noFill/>
            </a:ln>
            <a:effectLst/>
          </c:spPr>
          <c:invertIfNegative val="1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Assumptions!$D$29:$M$29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40519.760842739721</c:v>
                </c:pt>
                <c:pt idx="6">
                  <c:v>37878.729074627066</c:v>
                </c:pt>
                <c:pt idx="7">
                  <c:v>39065.009208779069</c:v>
                </c:pt>
                <c:pt idx="8">
                  <c:v>51734.666503830958</c:v>
                </c:pt>
                <c:pt idx="9">
                  <c:v>70452.194417110266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121-4089-B3A2-3B588D230E80}"/>
            </c:ext>
          </c:extLst>
        </c:ser>
        <c:ser>
          <c:idx val="0"/>
          <c:order val="1"/>
          <c:tx>
            <c:v>Investing Cash Flow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Assumptions!$D$30:$M$30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089-B3A2-3B588D230E80}"/>
            </c:ext>
          </c:extLst>
        </c:ser>
        <c:ser>
          <c:idx val="2"/>
          <c:order val="2"/>
          <c:tx>
            <c:v>Financing Cash Flow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Assumptions!$D$2:$M$2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Assumptions!$D$31:$M$31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1-4089-B3A2-3B588D23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(#,##0\)_-;_-* &quot;-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98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101320</xdr:colOff>
      <xdr:row>32</xdr:row>
      <xdr:rowOff>21476</xdr:rowOff>
    </xdr:from>
    <xdr:ext cx="4649974" cy="28136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DB4CC-E036-4042-972B-BED4E0A15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32</xdr:row>
      <xdr:rowOff>11206</xdr:rowOff>
    </xdr:from>
    <xdr:ext cx="5402916" cy="282388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61AA7-605E-4CA2-BBDD-0190C137E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59DC6E-59A9-499B-9EAA-72693CAD705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01f379-1333-49bb-9f46-8a33a9dd4fb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21E6-F474-4089-8FEB-BE18D5C88443}">
  <dimension ref="A1:Z1002"/>
  <sheetViews>
    <sheetView tabSelected="1" zoomScaleNormal="100" zoomScaleSheetLayoutView="100" workbookViewId="0">
      <selection activeCell="B2" sqref="B2"/>
    </sheetView>
  </sheetViews>
  <sheetFormatPr defaultColWidth="14.42578125" defaultRowHeight="15" outlineLevelRow="1" x14ac:dyDescent="0.25"/>
  <cols>
    <col min="1" max="1" width="45.42578125" bestFit="1" customWidth="1"/>
    <col min="2" max="2" width="12.42578125" customWidth="1"/>
    <col min="3" max="3" width="11.140625" customWidth="1"/>
    <col min="4" max="13" width="11.5703125" customWidth="1"/>
    <col min="14" max="14" width="80" customWidth="1"/>
    <col min="15" max="26" width="9.140625" customWidth="1"/>
  </cols>
  <sheetData>
    <row r="1" spans="1:26" ht="15.75" x14ac:dyDescent="0.25">
      <c r="A1" s="36"/>
      <c r="B1" s="37"/>
      <c r="C1" s="38"/>
      <c r="D1" s="58" t="s">
        <v>14</v>
      </c>
      <c r="E1" s="59"/>
      <c r="F1" s="59"/>
      <c r="G1" s="59"/>
      <c r="H1" s="59"/>
      <c r="I1" s="60" t="s">
        <v>15</v>
      </c>
      <c r="J1" s="61"/>
      <c r="K1" s="61"/>
      <c r="L1" s="61"/>
      <c r="M1" s="6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  <c r="N2" s="16"/>
      <c r="O2" s="16"/>
      <c r="P2" s="1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7" t="s">
        <v>16</v>
      </c>
      <c r="B3" s="17"/>
      <c r="C3" s="18"/>
      <c r="D3" s="15" t="str">
        <f>IF(ISNUMBER('Balance Sheet'!D23),IF(ABS('Balance Sheet'!D23)&gt;1,"ERROR","OK"),"CHECK BROKEN")</f>
        <v>OK</v>
      </c>
      <c r="E3" s="15" t="str">
        <f>IF(ISNUMBER('Balance Sheet'!E23),IF(ABS('Balance Sheet'!E23)&gt;1,"ERROR","OK"),"CHECK BROKEN")</f>
        <v>OK</v>
      </c>
      <c r="F3" s="15" t="str">
        <f>IF(ISNUMBER('Balance Sheet'!F23),IF(ABS('Balance Sheet'!F23)&gt;1,"ERROR","OK"),"CHECK BROKEN")</f>
        <v>OK</v>
      </c>
      <c r="G3" s="15" t="str">
        <f>IF(ISNUMBER('Balance Sheet'!G23),IF(ABS('Balance Sheet'!G23)&gt;1,"ERROR","OK"),"CHECK BROKEN")</f>
        <v>OK</v>
      </c>
      <c r="H3" s="15" t="str">
        <f>IF(ISNUMBER('Balance Sheet'!H23),IF(ABS('Balance Sheet'!H23)&gt;1,"ERROR","OK"),"CHECK BROKEN")</f>
        <v>OK</v>
      </c>
      <c r="I3" s="15" t="str">
        <f>IF(ISNUMBER('Balance Sheet'!I23),IF(ABS('Balance Sheet'!I23)&gt;1,"ERROR","OK"),"CHECK BROKEN")</f>
        <v>OK</v>
      </c>
      <c r="J3" s="15" t="str">
        <f>IF(ISNUMBER('Balance Sheet'!J23),IF(ABS('Balance Sheet'!J23)&gt;1,"ERROR","OK"),"CHECK BROKEN")</f>
        <v>OK</v>
      </c>
      <c r="K3" s="15" t="str">
        <f>IF(ISNUMBER('Balance Sheet'!K23),IF(ABS('Balance Sheet'!K23)&gt;1,"ERROR","OK"),"CHECK BROKEN")</f>
        <v>OK</v>
      </c>
      <c r="L3" s="15" t="str">
        <f>IF(ISNUMBER('Balance Sheet'!L23),IF(ABS('Balance Sheet'!L23)&gt;1,"ERROR","OK"),"CHECK BROKEN")</f>
        <v>OK</v>
      </c>
      <c r="M3" s="15" t="str">
        <f>IF(ISNUMBER('Balance Sheet'!M23),IF(ABS('Balance Sheet'!M23)&gt;1,"ERROR","OK"),"CHECK BROKEN")</f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.75" customHeight="1" x14ac:dyDescent="0.2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25">
      <c r="A5" s="57" t="s">
        <v>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1"/>
      <c r="B6" s="1"/>
      <c r="C6" s="2"/>
      <c r="D6" s="1"/>
      <c r="E6" s="1"/>
      <c r="F6" s="1"/>
      <c r="G6" s="1"/>
      <c r="H6" s="1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outlineLevel="1" x14ac:dyDescent="0.25">
      <c r="A7" s="4" t="s">
        <v>1</v>
      </c>
      <c r="B7" s="1"/>
      <c r="C7" s="2"/>
      <c r="D7" s="1"/>
      <c r="E7" s="1"/>
      <c r="F7" s="1"/>
      <c r="G7" s="1"/>
      <c r="H7" s="1"/>
      <c r="I7" s="3"/>
      <c r="J7" s="3"/>
      <c r="K7" s="3"/>
      <c r="L7" s="3"/>
      <c r="M7" s="3"/>
      <c r="N7" s="6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outlineLevel="1" x14ac:dyDescent="0.25">
      <c r="A8" s="5" t="s">
        <v>2</v>
      </c>
      <c r="B8" s="6"/>
      <c r="C8" s="7"/>
      <c r="D8" s="8"/>
      <c r="E8" s="8">
        <f>'Income Statement'!E6/'Income Statement'!D6-1</f>
        <v>0.15762643740135474</v>
      </c>
      <c r="F8" s="8">
        <f>'Income Statement'!F6/'Income Statement'!E6-1</f>
        <v>0.1122825737174602</v>
      </c>
      <c r="G8" s="8">
        <f>'Income Statement'!G6/'Income Statement'!F6-1</f>
        <v>8.3718451406600947E-2</v>
      </c>
      <c r="H8" s="8">
        <f>'Income Statement'!H6/'Income Statement'!G6-1</f>
        <v>5.9231001608812672E-2</v>
      </c>
      <c r="I8" s="9">
        <v>0.1</v>
      </c>
      <c r="J8" s="9">
        <v>0.1</v>
      </c>
      <c r="K8" s="9">
        <v>0.1</v>
      </c>
      <c r="L8" s="9">
        <v>0.1</v>
      </c>
      <c r="M8" s="9">
        <v>0.1</v>
      </c>
      <c r="N8" s="6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 t="s">
        <v>3</v>
      </c>
      <c r="B9" s="1"/>
      <c r="C9" s="2"/>
      <c r="D9" s="10">
        <f>'Income Statement'!D7/'Income Statement'!D6</f>
        <v>0.38255217779172018</v>
      </c>
      <c r="E9" s="10">
        <f>'Income Statement'!E7/'Income Statement'!E6</f>
        <v>0.40651728401334619</v>
      </c>
      <c r="F9" s="10">
        <f>'Income Statement'!F7/'Income Statement'!F6</f>
        <v>0.37399977159389397</v>
      </c>
      <c r="G9" s="10">
        <f>'Income Statement'!G7/'Income Statement'!G6</f>
        <v>0.369914501092447</v>
      </c>
      <c r="H9" s="10">
        <f>'Income Statement'!H7/'Income Statement'!H6</f>
        <v>0.37613084657628737</v>
      </c>
      <c r="I9" s="11">
        <v>0.42</v>
      </c>
      <c r="J9" s="11">
        <v>0.47</v>
      </c>
      <c r="K9" s="11">
        <v>0.5</v>
      </c>
      <c r="L9" s="11">
        <v>0.48</v>
      </c>
      <c r="M9" s="11">
        <v>0.42</v>
      </c>
      <c r="N9" s="6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 t="s">
        <v>4</v>
      </c>
      <c r="B10" s="1"/>
      <c r="C10" s="2"/>
      <c r="D10" s="10">
        <f>'Income Statement'!D10/'Income Statement'!D6</f>
        <v>0.25907045594910155</v>
      </c>
      <c r="E10" s="10">
        <f>'Income Statement'!E10/'Income Statement'!E6</f>
        <v>0.19187710651559034</v>
      </c>
      <c r="F10" s="10">
        <f>'Income Statement'!F10/'Income Statement'!F6</f>
        <v>0.18175035212608018</v>
      </c>
      <c r="G10" s="10">
        <f>'Income Statement'!G10/'Income Statement'!G6</f>
        <v>0.16159785304304453</v>
      </c>
      <c r="H10" s="10">
        <f>'Income Statement'!H10/'Income Statement'!H6</f>
        <v>0.16743825113416283</v>
      </c>
      <c r="I10" s="11">
        <v>0.17</v>
      </c>
      <c r="J10" s="11">
        <v>0.17</v>
      </c>
      <c r="K10" s="11">
        <v>0.17</v>
      </c>
      <c r="L10" s="11">
        <v>0.17</v>
      </c>
      <c r="M10" s="11">
        <v>0.17</v>
      </c>
      <c r="N10" s="6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 t="s">
        <v>5</v>
      </c>
      <c r="B11" s="1"/>
      <c r="C11" s="2"/>
      <c r="D11" s="1">
        <f>'Income Statement'!D11</f>
        <v>10963</v>
      </c>
      <c r="E11" s="1">
        <f>'Income Statement'!E11</f>
        <v>10125</v>
      </c>
      <c r="F11" s="1">
        <f>'Income Statement'!F11</f>
        <v>10087</v>
      </c>
      <c r="G11" s="1">
        <f>'Income Statement'!G11</f>
        <v>11020</v>
      </c>
      <c r="H11" s="1">
        <f>'Income Statement'!H11</f>
        <v>11412</v>
      </c>
      <c r="I11" s="3">
        <v>15000</v>
      </c>
      <c r="J11" s="3">
        <v>15000</v>
      </c>
      <c r="K11" s="3">
        <v>15000</v>
      </c>
      <c r="L11" s="3">
        <v>15000</v>
      </c>
      <c r="M11" s="3">
        <v>15000</v>
      </c>
      <c r="N11" s="6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" t="s">
        <v>92</v>
      </c>
      <c r="B12" s="1"/>
      <c r="C12" s="2"/>
      <c r="D12" s="10">
        <f>'Income Statement'!D12/'Supporting Schedules'!D14</f>
        <v>0.38999999999999996</v>
      </c>
      <c r="E12" s="10">
        <f>'Income Statement'!E12/'Supporting Schedules'!E14</f>
        <v>0.39890109890109882</v>
      </c>
      <c r="F12" s="10">
        <f>'Income Statement'!F12/'Supporting Schedules'!F14</f>
        <v>0.40625737898465164</v>
      </c>
      <c r="G12" s="10">
        <f>'Income Statement'!G12/'Supporting Schedules'!G14</f>
        <v>0.41210611533192171</v>
      </c>
      <c r="H12" s="10">
        <f>'Income Statement'!H12/'Supporting Schedules'!H14</f>
        <v>0.4165695189243801</v>
      </c>
      <c r="I12" s="11">
        <v>0.35</v>
      </c>
      <c r="J12" s="11">
        <v>0.35</v>
      </c>
      <c r="K12" s="11">
        <v>0.35</v>
      </c>
      <c r="L12" s="11">
        <v>0.35</v>
      </c>
      <c r="M12" s="11">
        <v>0.35</v>
      </c>
      <c r="N12" s="6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1" t="s">
        <v>93</v>
      </c>
      <c r="B13" s="1"/>
      <c r="C13" s="2"/>
      <c r="D13" s="10">
        <f>'Income Statement'!D14/AVERAGE('Supporting Schedules'!D20,'Supporting Schedules'!D22)</f>
        <v>4.9999999999999996E-2</v>
      </c>
      <c r="E13" s="10">
        <f>'Income Statement'!E14/AVERAGE('Supporting Schedules'!E20,'Supporting Schedules'!E22)</f>
        <v>4.9999999999999996E-2</v>
      </c>
      <c r="F13" s="10">
        <f>'Income Statement'!F14/AVERAGE('Supporting Schedules'!F20,'Supporting Schedules'!F22)</f>
        <v>3.7499999999999992E-2</v>
      </c>
      <c r="G13" s="10">
        <f>'Income Statement'!G14/AVERAGE('Supporting Schedules'!G20,'Supporting Schedules'!G22)</f>
        <v>4.9999999999999989E-2</v>
      </c>
      <c r="H13" s="10">
        <f>'Income Statement'!H14/AVERAGE('Supporting Schedules'!H20,'Supporting Schedules'!H22)</f>
        <v>4.9999999999999989E-2</v>
      </c>
      <c r="I13" s="11">
        <v>0.1</v>
      </c>
      <c r="J13" s="11">
        <v>0.1</v>
      </c>
      <c r="K13" s="11">
        <v>0.1</v>
      </c>
      <c r="L13" s="11">
        <v>0.1</v>
      </c>
      <c r="M13" s="11">
        <v>0.1</v>
      </c>
      <c r="N13" s="6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94</v>
      </c>
      <c r="B14" s="1"/>
      <c r="C14" s="2"/>
      <c r="D14" s="10">
        <f>IF('Cash Flow Statement'!D22=0,0,-'Income Statement'!D13/'Cash Flow Statement'!D22)</f>
        <v>0</v>
      </c>
      <c r="E14" s="10">
        <f>IF('Cash Flow Statement'!E22=0,0,-'Income Statement'!E13/'Cash Flow Statement'!E22)</f>
        <v>0</v>
      </c>
      <c r="F14" s="10">
        <f>IF('Cash Flow Statement'!F22=0,0,-'Income Statement'!F13/'Cash Flow Statement'!F22)</f>
        <v>0</v>
      </c>
      <c r="G14" s="10">
        <f>IF('Cash Flow Statement'!G22=0,0,-'Income Statement'!G13/'Cash Flow Statement'!G22)</f>
        <v>0</v>
      </c>
      <c r="H14" s="10">
        <f>IF('Cash Flow Statement'!H22=0,0,-'Income Statement'!H13/'Cash Flow Statement'!H22)</f>
        <v>0</v>
      </c>
      <c r="I14" s="11">
        <v>0.04</v>
      </c>
      <c r="J14" s="11">
        <v>0.04</v>
      </c>
      <c r="K14" s="11">
        <v>0.04</v>
      </c>
      <c r="L14" s="11">
        <v>0.04</v>
      </c>
      <c r="M14" s="11">
        <v>0.04</v>
      </c>
      <c r="N14" s="6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6</v>
      </c>
      <c r="B15" s="12"/>
      <c r="C15" s="13"/>
      <c r="D15" s="10">
        <f>'Income Statement'!D18/'Income Statement'!D16</f>
        <v>0.31163049526989428</v>
      </c>
      <c r="E15" s="10">
        <f>'Income Statement'!E18/'Income Statement'!E16</f>
        <v>0.29178929665445374</v>
      </c>
      <c r="F15" s="10">
        <f>'Income Statement'!F18/'Income Statement'!F16</f>
        <v>0.28699506055890112</v>
      </c>
      <c r="G15" s="10">
        <f>'Income Statement'!G18/'Income Statement'!G16</f>
        <v>0.28994444592116103</v>
      </c>
      <c r="H15" s="10">
        <f>'Income Statement'!H18/'Income Statement'!H16</f>
        <v>0.2912241054613936</v>
      </c>
      <c r="I15" s="11">
        <v>0.28000000000000003</v>
      </c>
      <c r="J15" s="11">
        <v>0.28000000000000003</v>
      </c>
      <c r="K15" s="11">
        <v>0.28000000000000003</v>
      </c>
      <c r="L15" s="11">
        <v>0.28000000000000003</v>
      </c>
      <c r="M15" s="11">
        <v>0.28000000000000003</v>
      </c>
      <c r="N15" s="6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7</v>
      </c>
      <c r="B16" s="1"/>
      <c r="C16" s="14"/>
      <c r="D16" s="1">
        <f>'Balance Sheet'!D8/'Income Statement'!D6*365</f>
        <v>18.248747634966229</v>
      </c>
      <c r="E16" s="1">
        <f>'Balance Sheet'!E8/'Income Statement'!E6*365</f>
        <v>18.249072709720032</v>
      </c>
      <c r="F16" s="1">
        <f>'Balance Sheet'!F8/'Income Statement'!F6*365</f>
        <v>18.249305264760743</v>
      </c>
      <c r="G16" s="1">
        <f>'Balance Sheet'!G8/'Income Statement'!G6*365</f>
        <v>18.249871786765585</v>
      </c>
      <c r="H16" s="1">
        <f>'Balance Sheet'!H8/'Income Statement'!H6*365</f>
        <v>18.248547475658611</v>
      </c>
      <c r="I16" s="3">
        <v>18</v>
      </c>
      <c r="J16" s="3">
        <v>18</v>
      </c>
      <c r="K16" s="3">
        <v>18</v>
      </c>
      <c r="L16" s="3">
        <v>18</v>
      </c>
      <c r="M16" s="3">
        <v>18</v>
      </c>
      <c r="N16" s="6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8</v>
      </c>
      <c r="B17" s="1"/>
      <c r="C17" s="14"/>
      <c r="D17" s="1">
        <f>'Balance Sheet'!D9/'Income Statement'!D7*365</f>
        <v>73.00374138328678</v>
      </c>
      <c r="E17" s="1">
        <f>'Balance Sheet'!E9/'Income Statement'!E7*365</f>
        <v>73.001520706607778</v>
      </c>
      <c r="F17" s="1">
        <f>'Balance Sheet'!F9/'Income Statement'!F7*365</f>
        <v>73.002972131180911</v>
      </c>
      <c r="G17" s="1">
        <f>'Balance Sheet'!G9/'Income Statement'!G7*365</f>
        <v>73.001386409389596</v>
      </c>
      <c r="H17" s="1">
        <f>'Balance Sheet'!H9/'Income Statement'!H7*365</f>
        <v>73</v>
      </c>
      <c r="I17" s="3">
        <v>80</v>
      </c>
      <c r="J17" s="3">
        <v>90</v>
      </c>
      <c r="K17" s="3">
        <v>100</v>
      </c>
      <c r="L17" s="3">
        <v>100</v>
      </c>
      <c r="M17" s="3">
        <v>100</v>
      </c>
      <c r="N17" s="6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9</v>
      </c>
      <c r="B18" s="1"/>
      <c r="C18" s="14"/>
      <c r="D18" s="1">
        <f>'Balance Sheet'!D14/'Income Statement'!D7*365</f>
        <v>36.497193962534915</v>
      </c>
      <c r="E18" s="1">
        <f>'Balance Sheet'!E14/'Income Statement'!E7*365</f>
        <v>36.496958586784437</v>
      </c>
      <c r="F18" s="1">
        <f>'Balance Sheet'!F14/'Income Statement'!F7*365</f>
        <v>36.497770901614317</v>
      </c>
      <c r="G18" s="1">
        <f>'Balance Sheet'!G14/'Income Statement'!G7*365</f>
        <v>36.504159228168795</v>
      </c>
      <c r="H18" s="1">
        <f>'Balance Sheet'!H14/'Income Statement'!H7*365</f>
        <v>36.493563745371191</v>
      </c>
      <c r="I18" s="3">
        <v>37</v>
      </c>
      <c r="J18" s="3">
        <v>37</v>
      </c>
      <c r="K18" s="3">
        <v>37</v>
      </c>
      <c r="L18" s="3">
        <v>37</v>
      </c>
      <c r="M18" s="3">
        <v>37</v>
      </c>
      <c r="N18" s="6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10</v>
      </c>
      <c r="B19" s="1"/>
      <c r="C19" s="2"/>
      <c r="D19" s="1">
        <f>'Cash Flow Statement'!D13</f>
        <v>15000</v>
      </c>
      <c r="E19" s="1">
        <f>'Cash Flow Statement'!E13</f>
        <v>15000</v>
      </c>
      <c r="F19" s="1">
        <f>'Cash Flow Statement'!F13</f>
        <v>15000</v>
      </c>
      <c r="G19" s="1">
        <f>'Cash Flow Statement'!G13</f>
        <v>15000</v>
      </c>
      <c r="H19" s="1">
        <f>'Cash Flow Statement'!H13</f>
        <v>15000</v>
      </c>
      <c r="I19" s="3">
        <v>15000</v>
      </c>
      <c r="J19" s="3">
        <v>15000</v>
      </c>
      <c r="K19" s="3">
        <v>15000</v>
      </c>
      <c r="L19" s="3">
        <v>15000</v>
      </c>
      <c r="M19" s="3">
        <v>15000</v>
      </c>
      <c r="N19" s="6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11</v>
      </c>
      <c r="B20" s="1"/>
      <c r="C20" s="2"/>
      <c r="D20" s="1">
        <f>'Cash Flow Statement'!D17</f>
        <v>0</v>
      </c>
      <c r="E20" s="1">
        <f>'Cash Flow Statement'!E17</f>
        <v>0</v>
      </c>
      <c r="F20" s="1">
        <f>'Cash Flow Statement'!F17</f>
        <v>-20000</v>
      </c>
      <c r="G20" s="1">
        <f>'Cash Flow Statement'!G17</f>
        <v>0</v>
      </c>
      <c r="H20" s="1">
        <f>'Cash Flow Statement'!H17</f>
        <v>0</v>
      </c>
      <c r="I20" s="3">
        <v>0</v>
      </c>
      <c r="J20" s="3">
        <v>0</v>
      </c>
      <c r="K20" s="3">
        <v>-20000</v>
      </c>
      <c r="L20" s="3">
        <v>0</v>
      </c>
      <c r="M20" s="3">
        <v>0</v>
      </c>
      <c r="N20" s="6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1" t="s">
        <v>12</v>
      </c>
      <c r="B21" s="1"/>
      <c r="C21" s="2"/>
      <c r="D21" s="1">
        <f>'Cash Flow Statement'!D18</f>
        <v>70000</v>
      </c>
      <c r="E21" s="1">
        <f>'Cash Flow Statement'!E18</f>
        <v>0</v>
      </c>
      <c r="F21" s="1">
        <f>'Cash Flow Statement'!F18</f>
        <v>0</v>
      </c>
      <c r="G21" s="1">
        <f>'Cash Flow Statement'!G18</f>
        <v>0</v>
      </c>
      <c r="H21" s="1">
        <f>'Cash Flow Statement'!H18</f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6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 t="s">
        <v>13</v>
      </c>
      <c r="B22" s="1"/>
      <c r="C22" s="2"/>
      <c r="D22" s="3">
        <v>365</v>
      </c>
      <c r="E22" s="3">
        <v>365</v>
      </c>
      <c r="F22" s="3">
        <v>365</v>
      </c>
      <c r="G22" s="3">
        <v>365</v>
      </c>
      <c r="H22" s="3">
        <v>365</v>
      </c>
      <c r="I22" s="3">
        <v>365</v>
      </c>
      <c r="J22" s="3">
        <v>365</v>
      </c>
      <c r="K22" s="3">
        <v>365</v>
      </c>
      <c r="L22" s="3">
        <v>365</v>
      </c>
      <c r="M22" s="3">
        <v>365</v>
      </c>
      <c r="N22" s="6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outlineLevel="1" x14ac:dyDescent="0.25">
      <c r="A23" s="1"/>
      <c r="B23" s="1"/>
      <c r="C23" s="2"/>
      <c r="D23" s="1"/>
      <c r="E23" s="1"/>
      <c r="F23" s="1"/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x14ac:dyDescent="0.25">
      <c r="A24" s="57" t="s">
        <v>74</v>
      </c>
      <c r="B24" s="56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1" t="s">
        <v>18</v>
      </c>
      <c r="B26" s="1"/>
      <c r="C26" s="2"/>
      <c r="D26" s="1">
        <f>'Income Statement'!D6</f>
        <v>102007</v>
      </c>
      <c r="E26" s="1">
        <f>'Income Statement'!E6</f>
        <v>118086</v>
      </c>
      <c r="F26" s="1">
        <f>'Income Statement'!F6</f>
        <v>131345</v>
      </c>
      <c r="G26" s="1">
        <f>'Income Statement'!G6</f>
        <v>142341</v>
      </c>
      <c r="H26" s="1">
        <f>'Income Statement'!H6</f>
        <v>150772</v>
      </c>
      <c r="I26" s="1">
        <f>'Income Statement'!I6</f>
        <v>165849.20000000001</v>
      </c>
      <c r="J26" s="1">
        <f>'Income Statement'!J6</f>
        <v>182434.12000000002</v>
      </c>
      <c r="K26" s="1">
        <f>'Income Statement'!K6</f>
        <v>200677.53200000004</v>
      </c>
      <c r="L26" s="1">
        <f>'Income Statement'!L6</f>
        <v>220745.28520000007</v>
      </c>
      <c r="M26" s="1">
        <f>'Income Statement'!M6</f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 t="s">
        <v>75</v>
      </c>
      <c r="B27" s="1"/>
      <c r="C27" s="2"/>
      <c r="D27" s="35">
        <f>'Income Statement'!D8/'Income Statement'!D6</f>
        <v>0.61744782220827987</v>
      </c>
      <c r="E27" s="35">
        <f>'Income Statement'!E8/'Income Statement'!E6</f>
        <v>0.59348271598665381</v>
      </c>
      <c r="F27" s="35">
        <f>'Income Statement'!F8/'Income Statement'!F6</f>
        <v>0.62600022840610603</v>
      </c>
      <c r="G27" s="35">
        <f>'Income Statement'!G8/'Income Statement'!G6</f>
        <v>0.63008549890755294</v>
      </c>
      <c r="H27" s="35">
        <f>'Income Statement'!H8/'Income Statement'!H6</f>
        <v>0.62386915342371263</v>
      </c>
      <c r="I27" s="35">
        <f>'Income Statement'!I8/'Income Statement'!I6</f>
        <v>0.57999999999999996</v>
      </c>
      <c r="J27" s="35">
        <f>'Income Statement'!J8/'Income Statement'!J6</f>
        <v>0.53</v>
      </c>
      <c r="K27" s="35">
        <f>'Income Statement'!K8/'Income Statement'!K6</f>
        <v>0.5</v>
      </c>
      <c r="L27" s="35">
        <f>'Income Statement'!L8/'Income Statement'!L6</f>
        <v>0.52</v>
      </c>
      <c r="M27" s="35">
        <f>'Income Statement'!M8/'Income Statement'!M6</f>
        <v>0.57999999999999996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1" t="s">
        <v>46</v>
      </c>
      <c r="B29" s="1"/>
      <c r="C29" s="2"/>
      <c r="D29" s="1">
        <f>'Cash Flow Statement'!D10</f>
        <v>12971</v>
      </c>
      <c r="E29" s="1">
        <f>'Cash Flow Statement'!E10</f>
        <v>28239</v>
      </c>
      <c r="F29" s="1">
        <f>'Cash Flow Statement'!F10</f>
        <v>37505</v>
      </c>
      <c r="G29" s="1">
        <f>'Cash Flow Statement'!G10</f>
        <v>42355</v>
      </c>
      <c r="H29" s="1">
        <f>'Cash Flow Statement'!H10</f>
        <v>43479</v>
      </c>
      <c r="I29" s="1">
        <f>'Cash Flow Statement'!I10</f>
        <v>40519.760842739721</v>
      </c>
      <c r="J29" s="1">
        <f>'Cash Flow Statement'!J10</f>
        <v>37878.729074627066</v>
      </c>
      <c r="K29" s="1">
        <f>'Cash Flow Statement'!K10</f>
        <v>39065.009208779069</v>
      </c>
      <c r="L29" s="1">
        <f>'Cash Flow Statement'!L10</f>
        <v>51734.666503830958</v>
      </c>
      <c r="M29" s="1">
        <f>'Cash Flow Statement'!M10</f>
        <v>70452.194417110266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 t="s">
        <v>50</v>
      </c>
      <c r="B30" s="1"/>
      <c r="C30" s="2"/>
      <c r="D30" s="1">
        <f>-'Cash Flow Statement'!D14</f>
        <v>-15000</v>
      </c>
      <c r="E30" s="1">
        <f>-'Cash Flow Statement'!E14</f>
        <v>-15000</v>
      </c>
      <c r="F30" s="1">
        <f>-'Cash Flow Statement'!F14</f>
        <v>-15000</v>
      </c>
      <c r="G30" s="1">
        <f>-'Cash Flow Statement'!G14</f>
        <v>-15000</v>
      </c>
      <c r="H30" s="1">
        <f>-'Cash Flow Statement'!H14</f>
        <v>-15000</v>
      </c>
      <c r="I30" s="1">
        <f>-'Cash Flow Statement'!I14</f>
        <v>-15000</v>
      </c>
      <c r="J30" s="1">
        <f>-'Cash Flow Statement'!J14</f>
        <v>-15000</v>
      </c>
      <c r="K30" s="1">
        <f>-'Cash Flow Statement'!K14</f>
        <v>-15000</v>
      </c>
      <c r="L30" s="1">
        <f>-'Cash Flow Statement'!L14</f>
        <v>-15000</v>
      </c>
      <c r="M30" s="1">
        <f>-'Cash Flow Statement'!M14</f>
        <v>-15000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A31" s="1" t="s">
        <v>53</v>
      </c>
      <c r="B31" s="1"/>
      <c r="C31" s="2"/>
      <c r="D31" s="1">
        <f>'Cash Flow Statement'!D19</f>
        <v>70000</v>
      </c>
      <c r="E31" s="1">
        <f>'Cash Flow Statement'!E19</f>
        <v>0</v>
      </c>
      <c r="F31" s="1">
        <f>'Cash Flow Statement'!F19</f>
        <v>-20000</v>
      </c>
      <c r="G31" s="1">
        <f>'Cash Flow Statement'!G19</f>
        <v>0</v>
      </c>
      <c r="H31" s="1">
        <f>'Cash Flow Statement'!H19</f>
        <v>0</v>
      </c>
      <c r="I31" s="1">
        <f>'Cash Flow Statement'!I19</f>
        <v>0</v>
      </c>
      <c r="J31" s="1">
        <f>'Cash Flow Statement'!J19</f>
        <v>0</v>
      </c>
      <c r="K31" s="1">
        <f>'Cash Flow Statement'!K19</f>
        <v>-20000</v>
      </c>
      <c r="L31" s="1">
        <f>'Cash Flow Statement'!L19</f>
        <v>0</v>
      </c>
      <c r="M31" s="1">
        <f>'Cash Flow Statement'!M19</f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4:26" ht="15.75" outlineLevel="1" x14ac:dyDescent="0.25"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4:26" ht="15.75" outlineLevel="1" x14ac:dyDescent="0.25"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4:26" ht="15.75" outlineLevel="1" x14ac:dyDescent="0.25"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4:26" ht="15.75" outlineLevel="1" x14ac:dyDescent="0.25"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4:26" ht="15.75" outlineLevel="1" x14ac:dyDescent="0.25"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4:26" ht="15.75" outlineLevel="1" x14ac:dyDescent="0.25"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4:26" ht="15.75" outlineLevel="1" x14ac:dyDescent="0.25"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4:26" ht="15.75" outlineLevel="1" x14ac:dyDescent="0.25"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4:26" ht="15.75" x14ac:dyDescent="0.25"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4:26" ht="15.75" x14ac:dyDescent="0.25"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4:26" ht="15.75" outlineLevel="1" x14ac:dyDescent="0.25"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4:26" ht="15.75" outlineLevel="1" x14ac:dyDescent="0.25"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4:26" ht="15.75" outlineLevel="1" x14ac:dyDescent="0.25"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4:26" ht="15.75" outlineLevel="1" x14ac:dyDescent="0.25"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4:26" ht="15.75" outlineLevel="1" x14ac:dyDescent="0.25"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4:26" ht="15.75" outlineLevel="1" x14ac:dyDescent="0.25"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4:26" ht="15.75" outlineLevel="1" x14ac:dyDescent="0.25"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4:26" ht="15.75" outlineLevel="1" x14ac:dyDescent="0.25"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4:26" ht="15.75" outlineLevel="1" x14ac:dyDescent="0.25"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4:26" ht="15.75" outlineLevel="1" x14ac:dyDescent="0.25"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4:26" ht="15.75" outlineLevel="1" x14ac:dyDescent="0.25"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4:26" ht="15.75" outlineLevel="1" x14ac:dyDescent="0.25"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4:26" ht="15.75" outlineLevel="1" x14ac:dyDescent="0.25"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4:26" ht="15.75" outlineLevel="1" x14ac:dyDescent="0.25"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4:26" ht="15.75" outlineLevel="1" x14ac:dyDescent="0.25"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4:26" ht="15.75" outlineLevel="1" x14ac:dyDescent="0.25"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4:26" ht="15.75" outlineLevel="1" x14ac:dyDescent="0.25"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4:26" ht="15.75" outlineLevel="1" x14ac:dyDescent="0.25"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4:26" ht="15.75" outlineLevel="1" x14ac:dyDescent="0.25"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4:26" ht="15.75" outlineLevel="1" x14ac:dyDescent="0.25"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4:26" ht="15.75" x14ac:dyDescent="0.25"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4:26" ht="15.75" x14ac:dyDescent="0.25"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4:26" ht="15.75" outlineLevel="1" x14ac:dyDescent="0.25"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4:26" ht="15.75" outlineLevel="1" x14ac:dyDescent="0.25"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4:26" ht="15.75" outlineLevel="1" x14ac:dyDescent="0.25"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4:26" ht="15.75" outlineLevel="1" x14ac:dyDescent="0.25"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4:26" ht="15.75" outlineLevel="1" x14ac:dyDescent="0.25"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4:26" ht="15.75" outlineLevel="1" x14ac:dyDescent="0.25"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4:26" ht="15.75" outlineLevel="1" x14ac:dyDescent="0.25"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4:26" ht="15.75" outlineLevel="1" x14ac:dyDescent="0.25"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4:26" ht="15.75" outlineLevel="1" x14ac:dyDescent="0.25"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4:26" ht="15.75" outlineLevel="1" x14ac:dyDescent="0.25"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4:26" ht="15.75" outlineLevel="1" x14ac:dyDescent="0.25"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4:26" ht="15.75" outlineLevel="1" x14ac:dyDescent="0.25"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4:26" ht="15.75" outlineLevel="1" x14ac:dyDescent="0.25"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4:26" ht="15.75" outlineLevel="1" x14ac:dyDescent="0.25"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4:26" ht="15.75" outlineLevel="1" x14ac:dyDescent="0.25"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4:26" ht="15.75" outlineLevel="1" x14ac:dyDescent="0.25"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4:26" ht="15.75" outlineLevel="1" x14ac:dyDescent="0.25"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4:26" ht="15.75" outlineLevel="1" x14ac:dyDescent="0.25"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4:26" ht="15.75" outlineLevel="1" x14ac:dyDescent="0.25"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4:26" ht="15.75" outlineLevel="1" x14ac:dyDescent="0.25"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4:26" ht="15.75" outlineLevel="1" x14ac:dyDescent="0.25"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4:26" ht="15.75" x14ac:dyDescent="0.25"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4:26" ht="15.75" x14ac:dyDescent="0.25"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4:26" ht="15.75" outlineLevel="1" x14ac:dyDescent="0.25"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4:26" ht="15.75" outlineLevel="1" x14ac:dyDescent="0.25"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4:26" ht="15.75" outlineLevel="1" x14ac:dyDescent="0.25"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4:26" ht="15.75" outlineLevel="1" x14ac:dyDescent="0.25"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4:26" ht="15.75" outlineLevel="1" x14ac:dyDescent="0.25"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4:26" ht="15.75" outlineLevel="1" x14ac:dyDescent="0.25"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4:26" ht="15.75" outlineLevel="1" x14ac:dyDescent="0.25"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4:26" ht="15.75" outlineLevel="1" x14ac:dyDescent="0.25"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4:26" ht="15.75" outlineLevel="1" x14ac:dyDescent="0.25"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4:26" ht="15.75" outlineLevel="1" x14ac:dyDescent="0.25"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4:26" ht="15.75" outlineLevel="1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4:26" ht="15.75" outlineLevel="1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4:26" ht="15.75" outlineLevel="1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4:26" ht="15.75" outlineLevel="1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4:26" ht="15.75" outlineLevel="1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4:26" ht="15.75" outlineLevel="1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4:26" ht="15.75" outlineLevel="1" x14ac:dyDescent="0.25"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4:26" ht="15.75" outlineLevel="1" x14ac:dyDescent="0.25"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4:26" ht="15.75" outlineLevel="1" x14ac:dyDescent="0.25"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4:26" ht="15.75" outlineLevel="1" x14ac:dyDescent="0.25"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4:26" ht="15.75" outlineLevel="1" x14ac:dyDescent="0.25"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4:26" ht="15.75" x14ac:dyDescent="0.25"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4:26" ht="15.75" x14ac:dyDescent="0.25"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4:26" ht="15.75" outlineLevel="1" x14ac:dyDescent="0.25"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4:26" ht="15.75" outlineLevel="1" x14ac:dyDescent="0.25"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outlineLevel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outlineLevel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outlineLevel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x14ac:dyDescent="0.2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6E67-A206-4AD5-A35C-103A1D00004A}">
  <dimension ref="A1:M20"/>
  <sheetViews>
    <sheetView workbookViewId="0">
      <selection activeCell="C2" sqref="A1:C2"/>
    </sheetView>
  </sheetViews>
  <sheetFormatPr defaultRowHeight="15" x14ac:dyDescent="0.25"/>
  <sheetData>
    <row r="1" spans="1:13" ht="15.75" x14ac:dyDescent="0.25">
      <c r="A1" s="36"/>
      <c r="B1" s="37"/>
      <c r="C1" s="38"/>
      <c r="D1" s="58" t="s">
        <v>14</v>
      </c>
      <c r="E1" s="59"/>
      <c r="F1" s="59"/>
      <c r="G1" s="59"/>
      <c r="H1" s="59"/>
      <c r="I1" s="60" t="s">
        <v>15</v>
      </c>
      <c r="J1" s="60"/>
      <c r="K1" s="60"/>
      <c r="L1" s="60"/>
      <c r="M1" s="60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57" t="s">
        <v>17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4"/>
      <c r="B5" s="4"/>
      <c r="C5" s="19"/>
      <c r="D5" s="20"/>
      <c r="E5" s="20"/>
      <c r="F5" s="20"/>
      <c r="G5" s="20"/>
      <c r="H5" s="20"/>
      <c r="I5" s="4"/>
      <c r="J5" s="4"/>
      <c r="K5" s="4"/>
      <c r="L5" s="4"/>
      <c r="M5" s="4"/>
    </row>
    <row r="6" spans="1:13" ht="15.75" x14ac:dyDescent="0.25">
      <c r="A6" s="4" t="s">
        <v>18</v>
      </c>
      <c r="B6" s="4"/>
      <c r="C6" s="19"/>
      <c r="D6" s="20">
        <v>102007</v>
      </c>
      <c r="E6" s="20">
        <v>118086</v>
      </c>
      <c r="F6" s="20">
        <v>131345</v>
      </c>
      <c r="G6" s="20">
        <v>142341</v>
      </c>
      <c r="H6" s="20">
        <v>150772</v>
      </c>
      <c r="I6" s="4">
        <f>H6*(1+Assumptions!I8)</f>
        <v>165849.20000000001</v>
      </c>
      <c r="J6" s="4">
        <f>I6*(1+Assumptions!J8)</f>
        <v>182434.12000000002</v>
      </c>
      <c r="K6" s="4">
        <f>J6*(1+Assumptions!K8)</f>
        <v>200677.53200000004</v>
      </c>
      <c r="L6" s="4">
        <f>K6*(1+Assumptions!L8)</f>
        <v>220745.28520000007</v>
      </c>
      <c r="M6" s="4">
        <f>L6*(1+Assumptions!M8)</f>
        <v>242819.81372000009</v>
      </c>
    </row>
    <row r="7" spans="1:13" ht="15.75" x14ac:dyDescent="0.25">
      <c r="A7" s="1" t="s">
        <v>19</v>
      </c>
      <c r="B7" s="1"/>
      <c r="C7" s="2"/>
      <c r="D7" s="3">
        <v>39023</v>
      </c>
      <c r="E7" s="3">
        <v>48004</v>
      </c>
      <c r="F7" s="3">
        <v>49123</v>
      </c>
      <c r="G7" s="3">
        <v>52654</v>
      </c>
      <c r="H7" s="3">
        <v>56710</v>
      </c>
      <c r="I7" s="21">
        <f>I6*Assumptions!I9</f>
        <v>69656.664000000004</v>
      </c>
      <c r="J7" s="21">
        <f>J6*Assumptions!J9</f>
        <v>85744.036400000012</v>
      </c>
      <c r="K7" s="21">
        <f>K6*Assumptions!K9</f>
        <v>100338.76600000002</v>
      </c>
      <c r="L7" s="21">
        <f>L6*Assumptions!L9</f>
        <v>105957.73689600003</v>
      </c>
      <c r="M7" s="21">
        <f>M6*Assumptions!M9</f>
        <v>101984.32176240004</v>
      </c>
    </row>
    <row r="8" spans="1:13" ht="15.75" x14ac:dyDescent="0.25">
      <c r="A8" s="6" t="s">
        <v>20</v>
      </c>
      <c r="B8" s="6"/>
      <c r="C8" s="7"/>
      <c r="D8" s="6">
        <f t="shared" ref="D8:M8" si="1">D6-D7</f>
        <v>62984</v>
      </c>
      <c r="E8" s="6">
        <f t="shared" si="1"/>
        <v>70082</v>
      </c>
      <c r="F8" s="6">
        <f t="shared" si="1"/>
        <v>82222</v>
      </c>
      <c r="G8" s="6">
        <f t="shared" si="1"/>
        <v>89687</v>
      </c>
      <c r="H8" s="6">
        <f t="shared" si="1"/>
        <v>94062</v>
      </c>
      <c r="I8" s="6">
        <f t="shared" si="1"/>
        <v>96192.536000000007</v>
      </c>
      <c r="J8" s="6">
        <f t="shared" si="1"/>
        <v>96690.083600000013</v>
      </c>
      <c r="K8" s="6">
        <f t="shared" si="1"/>
        <v>100338.76600000002</v>
      </c>
      <c r="L8" s="6">
        <f t="shared" si="1"/>
        <v>114787.54830400004</v>
      </c>
      <c r="M8" s="6">
        <f t="shared" si="1"/>
        <v>140835.49195760005</v>
      </c>
    </row>
    <row r="9" spans="1:13" ht="15.75" x14ac:dyDescent="0.25">
      <c r="A9" s="4" t="s">
        <v>21</v>
      </c>
      <c r="B9" s="4"/>
      <c r="C9" s="19"/>
      <c r="D9" s="22"/>
      <c r="E9" s="22"/>
      <c r="F9" s="22"/>
      <c r="G9" s="22"/>
      <c r="H9" s="22"/>
      <c r="I9" s="22"/>
      <c r="J9" s="22"/>
      <c r="K9" s="22"/>
      <c r="L9" s="4"/>
      <c r="M9" s="4"/>
    </row>
    <row r="10" spans="1:13" ht="15.75" x14ac:dyDescent="0.25">
      <c r="A10" s="1" t="s">
        <v>22</v>
      </c>
      <c r="B10" s="1"/>
      <c r="C10" s="2"/>
      <c r="D10" s="3">
        <v>26427</v>
      </c>
      <c r="E10" s="3">
        <v>22658</v>
      </c>
      <c r="F10" s="3">
        <v>23872</v>
      </c>
      <c r="G10" s="3">
        <v>23002</v>
      </c>
      <c r="H10" s="3">
        <v>25245</v>
      </c>
      <c r="I10" s="1">
        <f>Assumptions!I10*I6</f>
        <v>28194.364000000005</v>
      </c>
      <c r="J10" s="1">
        <f>Assumptions!J10*J6</f>
        <v>31013.800400000007</v>
      </c>
      <c r="K10" s="1">
        <f>Assumptions!K10*K6</f>
        <v>34115.180440000011</v>
      </c>
      <c r="L10" s="1">
        <f>Assumptions!L10*L6</f>
        <v>37526.698484000015</v>
      </c>
      <c r="M10" s="1">
        <f>Assumptions!M10*M6</f>
        <v>41279.368332400016</v>
      </c>
    </row>
    <row r="11" spans="1:13" ht="15.75" x14ac:dyDescent="0.25">
      <c r="A11" s="1" t="s">
        <v>23</v>
      </c>
      <c r="B11" s="1"/>
      <c r="C11" s="2"/>
      <c r="D11" s="3">
        <v>10963</v>
      </c>
      <c r="E11" s="3">
        <v>10125</v>
      </c>
      <c r="F11" s="3">
        <v>10087</v>
      </c>
      <c r="G11" s="3">
        <v>11020</v>
      </c>
      <c r="H11" s="3">
        <v>11412</v>
      </c>
      <c r="I11" s="1">
        <f>Assumptions!I11</f>
        <v>15000</v>
      </c>
      <c r="J11" s="1">
        <f>Assumptions!J11</f>
        <v>15000</v>
      </c>
      <c r="K11" s="1">
        <f>Assumptions!K11</f>
        <v>15000</v>
      </c>
      <c r="L11" s="1">
        <f>Assumptions!L11</f>
        <v>15000</v>
      </c>
      <c r="M11" s="1">
        <f>Assumptions!M11</f>
        <v>15000</v>
      </c>
    </row>
    <row r="12" spans="1:13" ht="15.75" x14ac:dyDescent="0.25">
      <c r="A12" s="1" t="s">
        <v>24</v>
      </c>
      <c r="B12" s="1"/>
      <c r="C12" s="2"/>
      <c r="D12" s="3">
        <v>19500</v>
      </c>
      <c r="E12" s="3">
        <v>18150</v>
      </c>
      <c r="F12" s="3">
        <v>17205</v>
      </c>
      <c r="G12" s="3">
        <v>16544</v>
      </c>
      <c r="H12" s="3">
        <v>16080</v>
      </c>
      <c r="I12" s="1">
        <f>'Cash Flow Statement'!I8</f>
        <v>13132.350000000002</v>
      </c>
      <c r="J12" s="1">
        <f>'Cash Flow Statement'!J8</f>
        <v>13786.027500000002</v>
      </c>
      <c r="K12" s="1">
        <f>'Cash Flow Statement'!K8</f>
        <v>14210.917875000001</v>
      </c>
      <c r="L12" s="1">
        <f>'Cash Flow Statement'!L8</f>
        <v>14487.096618750002</v>
      </c>
      <c r="M12" s="1">
        <f>'Cash Flow Statement'!M8</f>
        <v>14666.612802187501</v>
      </c>
    </row>
    <row r="13" spans="1:13" ht="15.75" x14ac:dyDescent="0.25">
      <c r="A13" s="1" t="s">
        <v>98</v>
      </c>
      <c r="B13" s="1"/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1">
        <f>-'Supporting Schedules'!I27</f>
        <v>-5581.96</v>
      </c>
      <c r="J13" s="1">
        <f>-'Supporting Schedules'!J27</f>
        <v>-6602.7504337095888</v>
      </c>
      <c r="K13" s="1">
        <f>-'Supporting Schedules'!K27</f>
        <v>-7517.8995966946723</v>
      </c>
      <c r="L13" s="1">
        <f>-'Supporting Schedules'!L27</f>
        <v>-7680.499965045834</v>
      </c>
      <c r="M13" s="1">
        <f>-'Supporting Schedules'!M27</f>
        <v>-9149.886625199073</v>
      </c>
    </row>
    <row r="14" spans="1:13" ht="15.75" x14ac:dyDescent="0.25">
      <c r="A14" s="23" t="s">
        <v>73</v>
      </c>
      <c r="B14" s="23"/>
      <c r="C14" s="24"/>
      <c r="D14" s="25">
        <v>2500</v>
      </c>
      <c r="E14" s="25">
        <v>2500</v>
      </c>
      <c r="F14" s="25">
        <v>1500</v>
      </c>
      <c r="G14" s="25">
        <v>1500</v>
      </c>
      <c r="H14" s="25">
        <v>1500</v>
      </c>
      <c r="I14" s="23">
        <f>'Supporting Schedules'!I23</f>
        <v>3000.0000000000009</v>
      </c>
      <c r="J14" s="23">
        <f>'Supporting Schedules'!J23</f>
        <v>3000.0000000000009</v>
      </c>
      <c r="K14" s="23">
        <f>'Supporting Schedules'!K23</f>
        <v>2000.0000000000009</v>
      </c>
      <c r="L14" s="23">
        <f>'Supporting Schedules'!L23</f>
        <v>1000.0000000000008</v>
      </c>
      <c r="M14" s="23">
        <f>'Supporting Schedules'!M23</f>
        <v>1000.0000000000008</v>
      </c>
    </row>
    <row r="15" spans="1:13" ht="15.75" x14ac:dyDescent="0.25">
      <c r="A15" s="4" t="s">
        <v>25</v>
      </c>
      <c r="B15" s="1"/>
      <c r="C15" s="2"/>
      <c r="D15" s="4">
        <f t="shared" ref="D15:M15" si="2">SUM(D10:D14)</f>
        <v>59390</v>
      </c>
      <c r="E15" s="4">
        <f t="shared" si="2"/>
        <v>53433</v>
      </c>
      <c r="F15" s="4">
        <f t="shared" si="2"/>
        <v>52664</v>
      </c>
      <c r="G15" s="4">
        <f t="shared" si="2"/>
        <v>52066</v>
      </c>
      <c r="H15" s="4">
        <f t="shared" si="2"/>
        <v>54237</v>
      </c>
      <c r="I15" s="4">
        <f t="shared" si="2"/>
        <v>53744.754000000008</v>
      </c>
      <c r="J15" s="4">
        <f t="shared" si="2"/>
        <v>56197.077466290422</v>
      </c>
      <c r="K15" s="4">
        <f t="shared" si="2"/>
        <v>57808.198718305335</v>
      </c>
      <c r="L15" s="4">
        <f t="shared" si="2"/>
        <v>60333.295137704175</v>
      </c>
      <c r="M15" s="4">
        <f t="shared" si="2"/>
        <v>62796.094509388451</v>
      </c>
    </row>
    <row r="16" spans="1:13" ht="15.75" x14ac:dyDescent="0.25">
      <c r="A16" s="6" t="s">
        <v>26</v>
      </c>
      <c r="B16" s="6"/>
      <c r="C16" s="7"/>
      <c r="D16" s="6">
        <f t="shared" ref="D16:M16" si="3">D8-D15</f>
        <v>3594</v>
      </c>
      <c r="E16" s="6">
        <f t="shared" si="3"/>
        <v>16649</v>
      </c>
      <c r="F16" s="6">
        <f t="shared" si="3"/>
        <v>29558</v>
      </c>
      <c r="G16" s="6">
        <f t="shared" si="3"/>
        <v>37621</v>
      </c>
      <c r="H16" s="6">
        <f t="shared" si="3"/>
        <v>39825</v>
      </c>
      <c r="I16" s="6">
        <f t="shared" si="3"/>
        <v>42447.781999999999</v>
      </c>
      <c r="J16" s="6">
        <f t="shared" si="3"/>
        <v>40493.00613370959</v>
      </c>
      <c r="K16" s="6">
        <f t="shared" si="3"/>
        <v>42530.567281694683</v>
      </c>
      <c r="L16" s="6">
        <f t="shared" si="3"/>
        <v>54454.253166295865</v>
      </c>
      <c r="M16" s="6">
        <f t="shared" si="3"/>
        <v>78039.397448211603</v>
      </c>
    </row>
    <row r="17" spans="1:13" ht="15.75" x14ac:dyDescent="0.25">
      <c r="A17" s="4"/>
      <c r="B17" s="4"/>
      <c r="C17" s="19"/>
      <c r="D17" s="20"/>
      <c r="E17" s="20"/>
      <c r="F17" s="20"/>
      <c r="G17" s="20"/>
      <c r="H17" s="20"/>
      <c r="I17" s="4"/>
      <c r="J17" s="4"/>
      <c r="K17" s="4"/>
      <c r="L17" s="4"/>
      <c r="M17" s="4"/>
    </row>
    <row r="18" spans="1:13" ht="15.75" x14ac:dyDescent="0.25">
      <c r="A18" s="1" t="s">
        <v>27</v>
      </c>
      <c r="B18" s="1"/>
      <c r="C18" s="2"/>
      <c r="D18" s="3">
        <v>1120</v>
      </c>
      <c r="E18" s="3">
        <v>4858</v>
      </c>
      <c r="F18" s="3">
        <v>8483</v>
      </c>
      <c r="G18" s="3">
        <v>10908</v>
      </c>
      <c r="H18" s="3">
        <v>11598</v>
      </c>
      <c r="I18" s="21">
        <f>I16*Assumptions!I15</f>
        <v>11885.378960000002</v>
      </c>
      <c r="J18" s="21">
        <f>J16*Assumptions!J15</f>
        <v>11338.041717438686</v>
      </c>
      <c r="K18" s="21">
        <f>K16*Assumptions!K15</f>
        <v>11908.558838874513</v>
      </c>
      <c r="L18" s="21">
        <f>L16*Assumptions!L15</f>
        <v>15247.190886562843</v>
      </c>
      <c r="M18" s="21">
        <f>M16*Assumptions!M15</f>
        <v>21851.031285499252</v>
      </c>
    </row>
    <row r="19" spans="1:13" ht="16.5" thickBot="1" x14ac:dyDescent="0.3">
      <c r="A19" s="26" t="s">
        <v>28</v>
      </c>
      <c r="B19" s="26"/>
      <c r="C19" s="27"/>
      <c r="D19" s="26">
        <f t="shared" ref="D19:M19" si="4">D16-D18</f>
        <v>2474</v>
      </c>
      <c r="E19" s="26">
        <f t="shared" si="4"/>
        <v>11791</v>
      </c>
      <c r="F19" s="26">
        <f t="shared" si="4"/>
        <v>21075</v>
      </c>
      <c r="G19" s="26">
        <f t="shared" si="4"/>
        <v>26713</v>
      </c>
      <c r="H19" s="26">
        <f t="shared" si="4"/>
        <v>28227</v>
      </c>
      <c r="I19" s="26">
        <f t="shared" si="4"/>
        <v>30562.403039999997</v>
      </c>
      <c r="J19" s="26">
        <f t="shared" si="4"/>
        <v>29154.964416270905</v>
      </c>
      <c r="K19" s="26">
        <f t="shared" si="4"/>
        <v>30622.00844282017</v>
      </c>
      <c r="L19" s="26">
        <f t="shared" si="4"/>
        <v>39207.062279733022</v>
      </c>
      <c r="M19" s="26">
        <f t="shared" si="4"/>
        <v>56188.366162712351</v>
      </c>
    </row>
    <row r="20" spans="1:13" ht="16.5" thickTop="1" x14ac:dyDescent="0.25">
      <c r="A20" s="1"/>
      <c r="B20" s="1"/>
      <c r="C20" s="2"/>
      <c r="D20" s="3"/>
      <c r="E20" s="3"/>
      <c r="F20" s="3"/>
      <c r="G20" s="3"/>
      <c r="H20" s="3"/>
      <c r="I20" s="1"/>
      <c r="J20" s="1"/>
      <c r="K20" s="1"/>
      <c r="L20" s="1"/>
      <c r="M20" s="1"/>
    </row>
  </sheetData>
  <mergeCells count="2">
    <mergeCell ref="D1:H1"/>
    <mergeCell ref="I1:M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8B74-78D7-493C-9E1E-B55080DECBD8}">
  <dimension ref="A1:M24"/>
  <sheetViews>
    <sheetView workbookViewId="0">
      <selection activeCell="A4" sqref="A4"/>
    </sheetView>
  </sheetViews>
  <sheetFormatPr defaultRowHeight="15" x14ac:dyDescent="0.25"/>
  <sheetData>
    <row r="1" spans="1:13" ht="15.75" x14ac:dyDescent="0.25">
      <c r="A1" s="36"/>
      <c r="B1" s="37"/>
      <c r="C1" s="38"/>
      <c r="D1" s="58" t="s">
        <v>14</v>
      </c>
      <c r="E1" s="59"/>
      <c r="F1" s="59"/>
      <c r="G1" s="59"/>
      <c r="H1" s="59"/>
      <c r="I1" s="60" t="s">
        <v>15</v>
      </c>
      <c r="J1" s="61"/>
      <c r="K1" s="61"/>
      <c r="L1" s="61"/>
      <c r="M1" s="61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57" t="s">
        <v>29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1"/>
      <c r="B5" s="1"/>
      <c r="C5" s="2"/>
      <c r="D5" s="3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30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31</v>
      </c>
      <c r="B7" s="1"/>
      <c r="C7" s="28"/>
      <c r="D7" s="3">
        <v>67971</v>
      </c>
      <c r="E7" s="3">
        <v>81210</v>
      </c>
      <c r="F7" s="3">
        <v>83715</v>
      </c>
      <c r="G7" s="3">
        <v>111070</v>
      </c>
      <c r="H7" s="3">
        <v>139549</v>
      </c>
      <c r="I7" s="1">
        <f>'Cash Flow Statement'!I23</f>
        <v>165068.76084273972</v>
      </c>
      <c r="J7" s="1">
        <f>'Cash Flow Statement'!J23</f>
        <v>187947.48991736679</v>
      </c>
      <c r="K7" s="1">
        <f>'Cash Flow Statement'!K23</f>
        <v>192012.49912614585</v>
      </c>
      <c r="L7" s="1">
        <f>'Cash Flow Statement'!L23</f>
        <v>228747.16562997681</v>
      </c>
      <c r="M7" s="1">
        <f>'Cash Flow Statement'!M23</f>
        <v>284199.36004708707</v>
      </c>
    </row>
    <row r="8" spans="1:13" ht="15.75" x14ac:dyDescent="0.25">
      <c r="A8" s="1" t="s">
        <v>32</v>
      </c>
      <c r="B8" s="1"/>
      <c r="C8" s="28"/>
      <c r="D8" s="3">
        <v>5100</v>
      </c>
      <c r="E8" s="3">
        <v>5904</v>
      </c>
      <c r="F8" s="3">
        <v>6567</v>
      </c>
      <c r="G8" s="3">
        <v>7117</v>
      </c>
      <c r="H8" s="3">
        <v>7538</v>
      </c>
      <c r="I8" s="29">
        <f>'Income Statement'!I6*Assumptions!I16/Assumptions!I22</f>
        <v>8178.8646575342473</v>
      </c>
      <c r="J8" s="29">
        <f>'Income Statement'!J6*Assumptions!J16/Assumptions!J22</f>
        <v>8996.7511232876732</v>
      </c>
      <c r="K8" s="29">
        <f>'Income Statement'!K6*Assumptions!K16/Assumptions!K22</f>
        <v>9896.42623561644</v>
      </c>
      <c r="L8" s="29">
        <f>'Income Statement'!L6*Assumptions!L16/Assumptions!L22</f>
        <v>10886.068859178085</v>
      </c>
      <c r="M8" s="29">
        <f>'Income Statement'!M6*Assumptions!M16/Assumptions!M22</f>
        <v>11974.675745095894</v>
      </c>
    </row>
    <row r="9" spans="1:13" ht="15.75" x14ac:dyDescent="0.25">
      <c r="A9" s="1" t="s">
        <v>33</v>
      </c>
      <c r="B9" s="1"/>
      <c r="C9" s="28"/>
      <c r="D9" s="3">
        <v>7805</v>
      </c>
      <c r="E9" s="3">
        <v>9601</v>
      </c>
      <c r="F9" s="3">
        <v>9825</v>
      </c>
      <c r="G9" s="3">
        <v>10531</v>
      </c>
      <c r="H9" s="3">
        <v>11342</v>
      </c>
      <c r="I9" s="1">
        <f>'Income Statement'!I7*Assumptions!I17/Assumptions!I22</f>
        <v>15267.21402739726</v>
      </c>
      <c r="J9" s="1">
        <f>'Income Statement'!J7*Assumptions!J17/Assumptions!J22</f>
        <v>21142.365139726033</v>
      </c>
      <c r="K9" s="1">
        <f>'Income Statement'!K7*Assumptions!K17/Assumptions!K22</f>
        <v>27490.072876712333</v>
      </c>
      <c r="L9" s="1">
        <f>'Income Statement'!L7*Assumptions!L17/Assumptions!L22</f>
        <v>29029.516957808231</v>
      </c>
      <c r="M9" s="1">
        <f>'Income Statement'!M7*Assumptions!M17/Assumptions!M22</f>
        <v>27940.910071890423</v>
      </c>
    </row>
    <row r="10" spans="1:13" ht="15.75" x14ac:dyDescent="0.25">
      <c r="A10" s="1" t="s">
        <v>34</v>
      </c>
      <c r="B10" s="1"/>
      <c r="C10" s="2"/>
      <c r="D10" s="3">
        <v>45500.000000000007</v>
      </c>
      <c r="E10" s="3">
        <v>42350.000000000007</v>
      </c>
      <c r="F10" s="3">
        <v>40145.000000000007</v>
      </c>
      <c r="G10" s="3">
        <v>38601.000000000007</v>
      </c>
      <c r="H10" s="3">
        <v>37521.000000000007</v>
      </c>
      <c r="I10" s="1">
        <f>'Supporting Schedules'!I17</f>
        <v>39388.650000000009</v>
      </c>
      <c r="J10" s="1">
        <f>'Supporting Schedules'!J17</f>
        <v>40602.622500000005</v>
      </c>
      <c r="K10" s="1">
        <f>'Supporting Schedules'!K17</f>
        <v>41391.704625000006</v>
      </c>
      <c r="L10" s="1">
        <f>'Supporting Schedules'!L17</f>
        <v>41904.608006250004</v>
      </c>
      <c r="M10" s="1">
        <f>'Supporting Schedules'!M17</f>
        <v>42237.995204062507</v>
      </c>
    </row>
    <row r="11" spans="1:13" ht="16.5" thickBot="1" x14ac:dyDescent="0.3">
      <c r="A11" s="26" t="s">
        <v>35</v>
      </c>
      <c r="B11" s="26"/>
      <c r="C11" s="27"/>
      <c r="D11" s="26">
        <f t="shared" ref="D11:M11" si="1">SUM(D7:D10)</f>
        <v>126376</v>
      </c>
      <c r="E11" s="26">
        <f t="shared" si="1"/>
        <v>139065</v>
      </c>
      <c r="F11" s="26">
        <f t="shared" si="1"/>
        <v>140252</v>
      </c>
      <c r="G11" s="26">
        <f t="shared" si="1"/>
        <v>167319</v>
      </c>
      <c r="H11" s="26">
        <f t="shared" si="1"/>
        <v>195950</v>
      </c>
      <c r="I11" s="26">
        <f t="shared" si="1"/>
        <v>227903.48952767125</v>
      </c>
      <c r="J11" s="26">
        <f t="shared" si="1"/>
        <v>258689.2286803805</v>
      </c>
      <c r="K11" s="26">
        <f t="shared" si="1"/>
        <v>270790.70286347461</v>
      </c>
      <c r="L11" s="26">
        <f t="shared" si="1"/>
        <v>310567.35945321311</v>
      </c>
      <c r="M11" s="26">
        <f t="shared" si="1"/>
        <v>366352.94106813584</v>
      </c>
    </row>
    <row r="12" spans="1:13" ht="16.5" thickTop="1" x14ac:dyDescent="0.25">
      <c r="A12" s="4"/>
      <c r="B12" s="4"/>
      <c r="C12" s="19"/>
      <c r="D12" s="20"/>
      <c r="E12" s="20"/>
      <c r="F12" s="20"/>
      <c r="G12" s="20"/>
      <c r="H12" s="20"/>
      <c r="I12" s="4"/>
      <c r="J12" s="4"/>
      <c r="K12" s="4"/>
      <c r="L12" s="4"/>
      <c r="M12" s="4"/>
    </row>
    <row r="13" spans="1:13" ht="15.75" x14ac:dyDescent="0.25">
      <c r="A13" s="4" t="s">
        <v>36</v>
      </c>
      <c r="B13" s="1"/>
      <c r="C13" s="28"/>
      <c r="D13" s="3"/>
      <c r="E13" s="3"/>
      <c r="F13" s="3"/>
      <c r="G13" s="3"/>
      <c r="H13" s="3"/>
      <c r="I13" s="1"/>
      <c r="J13" s="1"/>
      <c r="K13" s="1"/>
      <c r="L13" s="1"/>
      <c r="M13" s="1"/>
    </row>
    <row r="14" spans="1:13" ht="15.75" x14ac:dyDescent="0.25">
      <c r="A14" s="1" t="s">
        <v>37</v>
      </c>
      <c r="B14" s="1"/>
      <c r="C14" s="28"/>
      <c r="D14" s="3">
        <v>3902</v>
      </c>
      <c r="E14" s="3">
        <v>4800</v>
      </c>
      <c r="F14" s="3">
        <v>4912</v>
      </c>
      <c r="G14" s="3">
        <v>5266</v>
      </c>
      <c r="H14" s="3">
        <v>5670</v>
      </c>
      <c r="I14" s="1">
        <f>'Income Statement'!I7*Assumptions!I18/Assumptions!I22</f>
        <v>7061.086487671233</v>
      </c>
      <c r="J14" s="1">
        <f>'Income Statement'!J7*Assumptions!J18/Assumptions!J22</f>
        <v>8691.8612241095907</v>
      </c>
      <c r="K14" s="1">
        <f>'Income Statement'!K7*Assumptions!K18/Assumptions!K22</f>
        <v>10171.326964383563</v>
      </c>
      <c r="L14" s="1">
        <f>'Income Statement'!L7*Assumptions!L18/Assumptions!L22</f>
        <v>10740.921274389044</v>
      </c>
      <c r="M14" s="1">
        <f>'Income Statement'!M7*Assumptions!M18/Assumptions!M22</f>
        <v>10338.136726599456</v>
      </c>
    </row>
    <row r="15" spans="1:13" ht="15.75" x14ac:dyDescent="0.25">
      <c r="A15" s="1" t="s">
        <v>38</v>
      </c>
      <c r="B15" s="1"/>
      <c r="C15" s="2"/>
      <c r="D15" s="3">
        <v>50000</v>
      </c>
      <c r="E15" s="3">
        <v>50000</v>
      </c>
      <c r="F15" s="3">
        <v>30000</v>
      </c>
      <c r="G15" s="3">
        <v>30000</v>
      </c>
      <c r="H15" s="3">
        <v>30000</v>
      </c>
      <c r="I15" s="1">
        <f>'Supporting Schedules'!I22</f>
        <v>30000.000000000007</v>
      </c>
      <c r="J15" s="1">
        <f>'Supporting Schedules'!J22</f>
        <v>30000.000000000007</v>
      </c>
      <c r="K15" s="1">
        <f>'Supporting Schedules'!K22</f>
        <v>10000.000000000007</v>
      </c>
      <c r="L15" s="1">
        <f>'Supporting Schedules'!L22</f>
        <v>10000.000000000007</v>
      </c>
      <c r="M15" s="1">
        <f>'Supporting Schedules'!M22</f>
        <v>10000.000000000007</v>
      </c>
    </row>
    <row r="16" spans="1:13" ht="15.75" x14ac:dyDescent="0.25">
      <c r="A16" s="6" t="s">
        <v>39</v>
      </c>
      <c r="B16" s="6"/>
      <c r="C16" s="7"/>
      <c r="D16" s="6">
        <f t="shared" ref="D16:M16" si="2">SUM(D14:D15)</f>
        <v>53902</v>
      </c>
      <c r="E16" s="6">
        <f t="shared" si="2"/>
        <v>54800</v>
      </c>
      <c r="F16" s="6">
        <f t="shared" si="2"/>
        <v>34912</v>
      </c>
      <c r="G16" s="6">
        <f t="shared" si="2"/>
        <v>35266</v>
      </c>
      <c r="H16" s="6">
        <f t="shared" si="2"/>
        <v>35670</v>
      </c>
      <c r="I16" s="6">
        <f t="shared" si="2"/>
        <v>37061.086487671244</v>
      </c>
      <c r="J16" s="6">
        <f t="shared" si="2"/>
        <v>38691.861224109598</v>
      </c>
      <c r="K16" s="6">
        <f t="shared" si="2"/>
        <v>20171.32696438357</v>
      </c>
      <c r="L16" s="6">
        <f t="shared" si="2"/>
        <v>20740.921274389053</v>
      </c>
      <c r="M16" s="6">
        <f t="shared" si="2"/>
        <v>20338.136726599463</v>
      </c>
    </row>
    <row r="17" spans="1:13" ht="15.75" x14ac:dyDescent="0.25">
      <c r="A17" s="4" t="s">
        <v>40</v>
      </c>
      <c r="B17" s="1"/>
      <c r="C17" s="2"/>
      <c r="D17" s="3"/>
      <c r="E17" s="3"/>
      <c r="F17" s="3"/>
      <c r="G17" s="3"/>
      <c r="H17" s="3"/>
      <c r="I17" s="1"/>
      <c r="J17" s="1"/>
      <c r="K17" s="1"/>
      <c r="L17" s="1"/>
      <c r="M17" s="1"/>
    </row>
    <row r="18" spans="1:13" ht="15.75" x14ac:dyDescent="0.25">
      <c r="A18" s="1" t="s">
        <v>41</v>
      </c>
      <c r="B18" s="1"/>
      <c r="C18" s="2"/>
      <c r="D18" s="3">
        <v>70000</v>
      </c>
      <c r="E18" s="3">
        <v>70000</v>
      </c>
      <c r="F18" s="3">
        <v>70000</v>
      </c>
      <c r="G18" s="3">
        <v>70000</v>
      </c>
      <c r="H18" s="3">
        <v>70000</v>
      </c>
      <c r="I18" s="1">
        <f>H18+'Cash Flow Statement'!I18</f>
        <v>70000</v>
      </c>
      <c r="J18" s="1">
        <f>I18+'Cash Flow Statement'!J18</f>
        <v>70000</v>
      </c>
      <c r="K18" s="1">
        <f>J18+'Cash Flow Statement'!K18</f>
        <v>70000</v>
      </c>
      <c r="L18" s="1">
        <f>K18+'Cash Flow Statement'!L18</f>
        <v>70000</v>
      </c>
      <c r="M18" s="1">
        <f>L18+'Cash Flow Statement'!M18</f>
        <v>70000</v>
      </c>
    </row>
    <row r="19" spans="1:13" ht="15.75" x14ac:dyDescent="0.25">
      <c r="A19" s="1" t="s">
        <v>42</v>
      </c>
      <c r="B19" s="1"/>
      <c r="C19" s="2"/>
      <c r="D19" s="3">
        <v>2474</v>
      </c>
      <c r="E19" s="3">
        <v>14265</v>
      </c>
      <c r="F19" s="3">
        <v>35340</v>
      </c>
      <c r="G19" s="3">
        <v>62053</v>
      </c>
      <c r="H19" s="3">
        <v>90280</v>
      </c>
      <c r="I19" s="1">
        <f>H19+'Income Statement'!I19</f>
        <v>120842.40304</v>
      </c>
      <c r="J19" s="1">
        <f>I19+'Income Statement'!J19</f>
        <v>149997.36745627091</v>
      </c>
      <c r="K19" s="1">
        <f>J19+'Income Statement'!K19</f>
        <v>180619.37589909107</v>
      </c>
      <c r="L19" s="1">
        <f>K19+'Income Statement'!L19</f>
        <v>219826.43817882409</v>
      </c>
      <c r="M19" s="1">
        <f>L19+'Income Statement'!M19</f>
        <v>276014.80434153642</v>
      </c>
    </row>
    <row r="20" spans="1:13" ht="15.75" x14ac:dyDescent="0.25">
      <c r="A20" s="30" t="s">
        <v>40</v>
      </c>
      <c r="B20" s="30"/>
      <c r="C20" s="31"/>
      <c r="D20" s="30">
        <f t="shared" ref="D20:M20" si="3">SUM(D18:D19)</f>
        <v>72474</v>
      </c>
      <c r="E20" s="30">
        <f t="shared" si="3"/>
        <v>84265</v>
      </c>
      <c r="F20" s="30">
        <f t="shared" si="3"/>
        <v>105340</v>
      </c>
      <c r="G20" s="30">
        <f t="shared" si="3"/>
        <v>132053</v>
      </c>
      <c r="H20" s="30">
        <f t="shared" si="3"/>
        <v>160280</v>
      </c>
      <c r="I20" s="30">
        <f t="shared" si="3"/>
        <v>190842.40304</v>
      </c>
      <c r="J20" s="30">
        <f t="shared" si="3"/>
        <v>219997.36745627091</v>
      </c>
      <c r="K20" s="30">
        <f t="shared" si="3"/>
        <v>250619.37589909107</v>
      </c>
      <c r="L20" s="30">
        <f t="shared" si="3"/>
        <v>289826.43817882409</v>
      </c>
      <c r="M20" s="30">
        <f t="shared" si="3"/>
        <v>346014.80434153642</v>
      </c>
    </row>
    <row r="21" spans="1:13" ht="16.5" thickBot="1" x14ac:dyDescent="0.3">
      <c r="A21" s="26" t="s">
        <v>43</v>
      </c>
      <c r="B21" s="26"/>
      <c r="C21" s="27"/>
      <c r="D21" s="26">
        <f t="shared" ref="D21:M21" si="4">D16+D20</f>
        <v>126376</v>
      </c>
      <c r="E21" s="26">
        <f t="shared" si="4"/>
        <v>139065</v>
      </c>
      <c r="F21" s="26">
        <f t="shared" si="4"/>
        <v>140252</v>
      </c>
      <c r="G21" s="26">
        <f t="shared" si="4"/>
        <v>167319</v>
      </c>
      <c r="H21" s="26">
        <f t="shared" si="4"/>
        <v>195950</v>
      </c>
      <c r="I21" s="26">
        <f t="shared" si="4"/>
        <v>227903.48952767125</v>
      </c>
      <c r="J21" s="26">
        <f t="shared" si="4"/>
        <v>258689.2286803805</v>
      </c>
      <c r="K21" s="26">
        <f t="shared" si="4"/>
        <v>270790.70286347467</v>
      </c>
      <c r="L21" s="26">
        <f t="shared" si="4"/>
        <v>310567.35945321317</v>
      </c>
      <c r="M21" s="26">
        <f t="shared" si="4"/>
        <v>366352.9410681359</v>
      </c>
    </row>
    <row r="22" spans="1:13" ht="16.5" thickTop="1" x14ac:dyDescent="0.25">
      <c r="A22" s="1"/>
      <c r="B22" s="1"/>
      <c r="C22" s="2"/>
      <c r="D22" s="3"/>
      <c r="E22" s="3"/>
      <c r="F22" s="3"/>
      <c r="G22" s="3"/>
      <c r="H22" s="3"/>
      <c r="I22" s="1"/>
      <c r="J22" s="1"/>
      <c r="K22" s="1"/>
      <c r="L22" s="1"/>
      <c r="M22" s="1"/>
    </row>
    <row r="23" spans="1:13" ht="15.75" x14ac:dyDescent="0.25">
      <c r="A23" s="12" t="s">
        <v>44</v>
      </c>
      <c r="B23" s="32"/>
      <c r="C23" s="33"/>
      <c r="D23" s="32">
        <f t="shared" ref="D23:M23" si="5">D21-D11</f>
        <v>0</v>
      </c>
      <c r="E23" s="32">
        <f t="shared" si="5"/>
        <v>0</v>
      </c>
      <c r="F23" s="32">
        <f t="shared" si="5"/>
        <v>0</v>
      </c>
      <c r="G23" s="32">
        <f t="shared" si="5"/>
        <v>0</v>
      </c>
      <c r="H23" s="32">
        <f t="shared" si="5"/>
        <v>0</v>
      </c>
      <c r="I23" s="32">
        <f t="shared" si="5"/>
        <v>0</v>
      </c>
      <c r="J23" s="32">
        <f t="shared" si="5"/>
        <v>0</v>
      </c>
      <c r="K23" s="32">
        <f t="shared" si="5"/>
        <v>0</v>
      </c>
      <c r="L23" s="32">
        <f t="shared" si="5"/>
        <v>0</v>
      </c>
      <c r="M23" s="32">
        <f t="shared" si="5"/>
        <v>0</v>
      </c>
    </row>
    <row r="24" spans="1:13" ht="15.75" x14ac:dyDescent="0.25">
      <c r="A24" s="32"/>
      <c r="B24" s="32"/>
      <c r="C24" s="33"/>
      <c r="D24" s="32"/>
      <c r="E24" s="32"/>
      <c r="F24" s="32"/>
      <c r="G24" s="32"/>
      <c r="H24" s="32"/>
      <c r="I24" s="32"/>
      <c r="J24" s="32"/>
      <c r="K24" s="32"/>
      <c r="L24" s="32"/>
      <c r="M24" s="32"/>
    </row>
  </sheetData>
  <mergeCells count="2">
    <mergeCell ref="D1:H1"/>
    <mergeCell ref="I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9A86-4CB3-43F4-AE5B-0DC4C6BE5361}">
  <dimension ref="A1:M26"/>
  <sheetViews>
    <sheetView workbookViewId="0">
      <selection activeCell="A4" sqref="A4"/>
    </sheetView>
  </sheetViews>
  <sheetFormatPr defaultRowHeight="15" x14ac:dyDescent="0.25"/>
  <sheetData>
    <row r="1" spans="1:13" ht="15.75" x14ac:dyDescent="0.25">
      <c r="A1" s="36"/>
      <c r="B1" s="37"/>
      <c r="C1" s="38"/>
      <c r="D1" s="58" t="s">
        <v>14</v>
      </c>
      <c r="E1" s="59"/>
      <c r="F1" s="59"/>
      <c r="G1" s="59"/>
      <c r="H1" s="59"/>
      <c r="I1" s="60" t="s">
        <v>15</v>
      </c>
      <c r="J1" s="61"/>
      <c r="K1" s="61"/>
      <c r="L1" s="61"/>
      <c r="M1" s="61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57" t="s">
        <v>45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4"/>
      <c r="B5" s="1"/>
      <c r="C5" s="2"/>
      <c r="D5" s="20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46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28</v>
      </c>
      <c r="B7" s="1"/>
      <c r="C7" s="2"/>
      <c r="D7" s="3">
        <v>2474</v>
      </c>
      <c r="E7" s="3">
        <v>11791</v>
      </c>
      <c r="F7" s="3">
        <v>21075</v>
      </c>
      <c r="G7" s="3">
        <v>26713</v>
      </c>
      <c r="H7" s="3">
        <v>28227</v>
      </c>
      <c r="I7" s="1">
        <f>'Income Statement'!I19</f>
        <v>30562.403039999997</v>
      </c>
      <c r="J7" s="1">
        <f>'Income Statement'!J19</f>
        <v>29154.964416270905</v>
      </c>
      <c r="K7" s="1">
        <f>'Income Statement'!K19</f>
        <v>30622.00844282017</v>
      </c>
      <c r="L7" s="1">
        <f>'Income Statement'!L19</f>
        <v>39207.062279733022</v>
      </c>
      <c r="M7" s="1">
        <f>'Income Statement'!M19</f>
        <v>56188.366162712351</v>
      </c>
    </row>
    <row r="8" spans="1:13" ht="15.75" x14ac:dyDescent="0.25">
      <c r="A8" s="1" t="s">
        <v>47</v>
      </c>
      <c r="B8" s="1"/>
      <c r="C8" s="2"/>
      <c r="D8" s="3">
        <v>19500</v>
      </c>
      <c r="E8" s="3">
        <v>18150</v>
      </c>
      <c r="F8" s="3">
        <v>17205</v>
      </c>
      <c r="G8" s="3">
        <v>16544</v>
      </c>
      <c r="H8" s="3">
        <v>16080</v>
      </c>
      <c r="I8" s="1">
        <f>'Supporting Schedules'!I16</f>
        <v>13132.350000000002</v>
      </c>
      <c r="J8" s="1">
        <f>'Supporting Schedules'!J16</f>
        <v>13786.027500000002</v>
      </c>
      <c r="K8" s="1">
        <f>'Supporting Schedules'!K16</f>
        <v>14210.917875000001</v>
      </c>
      <c r="L8" s="1">
        <f>'Supporting Schedules'!L16</f>
        <v>14487.096618750002</v>
      </c>
      <c r="M8" s="1">
        <f>'Supporting Schedules'!M16</f>
        <v>14666.612802187501</v>
      </c>
    </row>
    <row r="9" spans="1:13" ht="15.75" x14ac:dyDescent="0.25">
      <c r="A9" s="1" t="s">
        <v>48</v>
      </c>
      <c r="B9" s="1"/>
      <c r="C9" s="2"/>
      <c r="D9" s="3">
        <v>9003</v>
      </c>
      <c r="E9" s="3">
        <v>1702</v>
      </c>
      <c r="F9" s="3">
        <v>775</v>
      </c>
      <c r="G9" s="3">
        <v>902</v>
      </c>
      <c r="H9" s="3">
        <v>828</v>
      </c>
      <c r="I9" s="1">
        <f>'Supporting Schedules'!I11</f>
        <v>3174.9921972602751</v>
      </c>
      <c r="J9" s="1">
        <f>'Supporting Schedules'!J11</f>
        <v>5062.2628416438383</v>
      </c>
      <c r="K9" s="1">
        <f>'Supporting Schedules'!K11</f>
        <v>5767.9171090411</v>
      </c>
      <c r="L9" s="1">
        <f>'Supporting Schedules'!L11</f>
        <v>1959.4923946520612</v>
      </c>
      <c r="M9" s="1">
        <f>'Supporting Schedules'!M11</f>
        <v>402.78454778958985</v>
      </c>
    </row>
    <row r="10" spans="1:13" ht="15.75" x14ac:dyDescent="0.25">
      <c r="A10" s="6" t="s">
        <v>49</v>
      </c>
      <c r="B10" s="5"/>
      <c r="C10" s="34"/>
      <c r="D10" s="6">
        <f t="shared" ref="D10:M10" si="1">D7+D8-D9</f>
        <v>12971</v>
      </c>
      <c r="E10" s="6">
        <f t="shared" si="1"/>
        <v>28239</v>
      </c>
      <c r="F10" s="6">
        <f t="shared" si="1"/>
        <v>37505</v>
      </c>
      <c r="G10" s="6">
        <f t="shared" si="1"/>
        <v>42355</v>
      </c>
      <c r="H10" s="6">
        <f t="shared" si="1"/>
        <v>43479</v>
      </c>
      <c r="I10" s="6">
        <f t="shared" si="1"/>
        <v>40519.760842739721</v>
      </c>
      <c r="J10" s="6">
        <f t="shared" si="1"/>
        <v>37878.729074627066</v>
      </c>
      <c r="K10" s="6">
        <f t="shared" si="1"/>
        <v>39065.009208779069</v>
      </c>
      <c r="L10" s="6">
        <f t="shared" si="1"/>
        <v>51734.666503830958</v>
      </c>
      <c r="M10" s="6">
        <f t="shared" si="1"/>
        <v>70452.194417110266</v>
      </c>
    </row>
    <row r="11" spans="1:13" ht="15.75" x14ac:dyDescent="0.25">
      <c r="A11" s="4"/>
      <c r="B11" s="1"/>
      <c r="C11" s="2"/>
      <c r="D11" s="20"/>
      <c r="E11" s="20"/>
      <c r="F11" s="20"/>
      <c r="G11" s="20"/>
      <c r="H11" s="20"/>
      <c r="I11" s="4"/>
      <c r="J11" s="4"/>
      <c r="K11" s="4"/>
      <c r="L11" s="4"/>
      <c r="M11" s="4"/>
    </row>
    <row r="12" spans="1:13" ht="15.75" x14ac:dyDescent="0.25">
      <c r="A12" s="4" t="s">
        <v>50</v>
      </c>
      <c r="B12" s="1"/>
      <c r="C12" s="2"/>
      <c r="D12" s="3"/>
      <c r="E12" s="3"/>
      <c r="F12" s="3"/>
      <c r="G12" s="3"/>
      <c r="H12" s="3"/>
      <c r="I12" s="1"/>
      <c r="J12" s="1"/>
      <c r="K12" s="1"/>
      <c r="L12" s="1"/>
      <c r="M12" s="1"/>
    </row>
    <row r="13" spans="1:13" ht="15.75" x14ac:dyDescent="0.25">
      <c r="A13" s="1" t="s">
        <v>51</v>
      </c>
      <c r="B13" s="1"/>
      <c r="C13" s="2"/>
      <c r="D13" s="3">
        <v>15000</v>
      </c>
      <c r="E13" s="3">
        <v>15000</v>
      </c>
      <c r="F13" s="3">
        <v>15000</v>
      </c>
      <c r="G13" s="3">
        <v>15000</v>
      </c>
      <c r="H13" s="3">
        <v>15000</v>
      </c>
      <c r="I13" s="1">
        <f>'Supporting Schedules'!I15</f>
        <v>15000</v>
      </c>
      <c r="J13" s="1">
        <f>'Supporting Schedules'!J15</f>
        <v>15000</v>
      </c>
      <c r="K13" s="1">
        <f>'Supporting Schedules'!K15</f>
        <v>15000</v>
      </c>
      <c r="L13" s="1">
        <f>'Supporting Schedules'!L15</f>
        <v>15000</v>
      </c>
      <c r="M13" s="1">
        <f>'Supporting Schedules'!M15</f>
        <v>15000</v>
      </c>
    </row>
    <row r="14" spans="1:13" ht="15.75" x14ac:dyDescent="0.25">
      <c r="A14" s="6" t="s">
        <v>52</v>
      </c>
      <c r="B14" s="5"/>
      <c r="C14" s="34"/>
      <c r="D14" s="6">
        <f t="shared" ref="D14:M14" si="2">SUM(D13)</f>
        <v>15000</v>
      </c>
      <c r="E14" s="6">
        <f t="shared" si="2"/>
        <v>15000</v>
      </c>
      <c r="F14" s="6">
        <f t="shared" si="2"/>
        <v>15000</v>
      </c>
      <c r="G14" s="6">
        <f t="shared" si="2"/>
        <v>15000</v>
      </c>
      <c r="H14" s="6">
        <f t="shared" si="2"/>
        <v>15000</v>
      </c>
      <c r="I14" s="6">
        <f t="shared" si="2"/>
        <v>15000</v>
      </c>
      <c r="J14" s="6">
        <f t="shared" si="2"/>
        <v>15000</v>
      </c>
      <c r="K14" s="6">
        <f t="shared" si="2"/>
        <v>15000</v>
      </c>
      <c r="L14" s="6">
        <f t="shared" si="2"/>
        <v>15000</v>
      </c>
      <c r="M14" s="6">
        <f t="shared" si="2"/>
        <v>15000</v>
      </c>
    </row>
    <row r="15" spans="1:13" ht="15.75" x14ac:dyDescent="0.25">
      <c r="A15" s="4"/>
      <c r="B15" s="1"/>
      <c r="C15" s="2"/>
      <c r="D15" s="20"/>
      <c r="E15" s="20"/>
      <c r="F15" s="20"/>
      <c r="G15" s="20"/>
      <c r="H15" s="20"/>
      <c r="I15" s="4"/>
      <c r="J15" s="4"/>
      <c r="K15" s="4"/>
      <c r="L15" s="4"/>
      <c r="M15" s="4"/>
    </row>
    <row r="16" spans="1:13" ht="15.75" x14ac:dyDescent="0.25">
      <c r="A16" s="4" t="s">
        <v>53</v>
      </c>
      <c r="B16" s="1"/>
      <c r="C16" s="2"/>
      <c r="D16" s="3"/>
      <c r="E16" s="3"/>
      <c r="F16" s="3"/>
      <c r="G16" s="3"/>
      <c r="H16" s="3"/>
      <c r="I16" s="1"/>
      <c r="J16" s="1"/>
      <c r="K16" s="1"/>
      <c r="L16" s="1"/>
      <c r="M16" s="1"/>
    </row>
    <row r="17" spans="1:13" ht="15.75" x14ac:dyDescent="0.25">
      <c r="A17" s="1" t="s">
        <v>54</v>
      </c>
      <c r="B17" s="1"/>
      <c r="C17" s="2"/>
      <c r="D17" s="3">
        <v>0</v>
      </c>
      <c r="E17" s="3">
        <v>0</v>
      </c>
      <c r="F17" s="3">
        <v>-20000</v>
      </c>
      <c r="G17" s="3">
        <v>0</v>
      </c>
      <c r="H17" s="3">
        <v>0</v>
      </c>
      <c r="I17" s="1">
        <f>'Supporting Schedules'!I21</f>
        <v>0</v>
      </c>
      <c r="J17" s="1">
        <f>'Supporting Schedules'!J21</f>
        <v>0</v>
      </c>
      <c r="K17" s="1">
        <f>'Supporting Schedules'!K21</f>
        <v>-20000</v>
      </c>
      <c r="L17" s="1">
        <f>'Supporting Schedules'!L21</f>
        <v>0</v>
      </c>
      <c r="M17" s="1">
        <f>'Supporting Schedules'!M21</f>
        <v>0</v>
      </c>
    </row>
    <row r="18" spans="1:13" ht="15.75" x14ac:dyDescent="0.25">
      <c r="A18" s="1" t="s">
        <v>55</v>
      </c>
      <c r="B18" s="1"/>
      <c r="C18" s="2"/>
      <c r="D18" s="3">
        <v>70000</v>
      </c>
      <c r="E18" s="3">
        <v>0</v>
      </c>
      <c r="F18" s="3">
        <v>0</v>
      </c>
      <c r="G18" s="3">
        <v>0</v>
      </c>
      <c r="H18" s="3">
        <v>0</v>
      </c>
      <c r="I18" s="1">
        <f>Assumptions!I21</f>
        <v>0</v>
      </c>
      <c r="J18" s="1">
        <f>Assumptions!J21</f>
        <v>0</v>
      </c>
      <c r="K18" s="1">
        <f>Assumptions!K21</f>
        <v>0</v>
      </c>
      <c r="L18" s="1">
        <f>Assumptions!L21</f>
        <v>0</v>
      </c>
      <c r="M18" s="1">
        <f>Assumptions!M21</f>
        <v>0</v>
      </c>
    </row>
    <row r="19" spans="1:13" ht="15.75" x14ac:dyDescent="0.25">
      <c r="A19" s="6" t="s">
        <v>56</v>
      </c>
      <c r="B19" s="5"/>
      <c r="C19" s="34"/>
      <c r="D19" s="6">
        <f t="shared" ref="D19:M19" si="3">SUM(D17:D18)</f>
        <v>70000</v>
      </c>
      <c r="E19" s="6">
        <f t="shared" si="3"/>
        <v>0</v>
      </c>
      <c r="F19" s="6">
        <f t="shared" si="3"/>
        <v>-20000</v>
      </c>
      <c r="G19" s="6">
        <f t="shared" si="3"/>
        <v>0</v>
      </c>
      <c r="H19" s="6">
        <f t="shared" si="3"/>
        <v>0</v>
      </c>
      <c r="I19" s="6">
        <f t="shared" si="3"/>
        <v>0</v>
      </c>
      <c r="J19" s="6">
        <f t="shared" si="3"/>
        <v>0</v>
      </c>
      <c r="K19" s="6">
        <f t="shared" si="3"/>
        <v>-20000</v>
      </c>
      <c r="L19" s="6">
        <f t="shared" si="3"/>
        <v>0</v>
      </c>
      <c r="M19" s="6">
        <f t="shared" si="3"/>
        <v>0</v>
      </c>
    </row>
    <row r="20" spans="1:13" ht="15.75" x14ac:dyDescent="0.25">
      <c r="A20" s="4"/>
      <c r="B20" s="1"/>
      <c r="C20" s="2"/>
      <c r="D20" s="20"/>
      <c r="E20" s="20"/>
      <c r="F20" s="20"/>
      <c r="G20" s="20"/>
      <c r="H20" s="20"/>
      <c r="I20" s="4"/>
      <c r="J20" s="4"/>
      <c r="K20" s="4"/>
      <c r="L20" s="4"/>
      <c r="M20" s="4"/>
    </row>
    <row r="21" spans="1:13" ht="15.75" x14ac:dyDescent="0.25">
      <c r="A21" s="1" t="s">
        <v>57</v>
      </c>
      <c r="B21" s="1"/>
      <c r="C21" s="2"/>
      <c r="D21" s="1">
        <f t="shared" ref="D21:M21" si="4">D10-D14+D19</f>
        <v>67971</v>
      </c>
      <c r="E21" s="1">
        <f t="shared" si="4"/>
        <v>13239</v>
      </c>
      <c r="F21" s="1">
        <f t="shared" si="4"/>
        <v>2505</v>
      </c>
      <c r="G21" s="1">
        <f t="shared" si="4"/>
        <v>27355</v>
      </c>
      <c r="H21" s="1">
        <f t="shared" si="4"/>
        <v>28479</v>
      </c>
      <c r="I21" s="1">
        <f t="shared" si="4"/>
        <v>25519.760842739721</v>
      </c>
      <c r="J21" s="1">
        <f t="shared" si="4"/>
        <v>22878.729074627066</v>
      </c>
      <c r="K21" s="1">
        <f t="shared" si="4"/>
        <v>4065.009208779069</v>
      </c>
      <c r="L21" s="1">
        <f t="shared" si="4"/>
        <v>36734.666503830958</v>
      </c>
      <c r="M21" s="1">
        <f t="shared" si="4"/>
        <v>55452.194417110266</v>
      </c>
    </row>
    <row r="22" spans="1:13" ht="15.75" x14ac:dyDescent="0.25">
      <c r="A22" s="1" t="s">
        <v>58</v>
      </c>
      <c r="B22" s="1"/>
      <c r="C22" s="2"/>
      <c r="D22" s="3">
        <v>0</v>
      </c>
      <c r="E22" s="1">
        <f t="shared" ref="E22:M22" si="5">D23</f>
        <v>67971</v>
      </c>
      <c r="F22" s="1">
        <f t="shared" si="5"/>
        <v>81210</v>
      </c>
      <c r="G22" s="1">
        <f t="shared" si="5"/>
        <v>83715</v>
      </c>
      <c r="H22" s="1">
        <f t="shared" si="5"/>
        <v>111070</v>
      </c>
      <c r="I22" s="1">
        <f t="shared" si="5"/>
        <v>139549</v>
      </c>
      <c r="J22" s="1">
        <f t="shared" si="5"/>
        <v>165068.76084273972</v>
      </c>
      <c r="K22" s="1">
        <f t="shared" si="5"/>
        <v>187947.48991736679</v>
      </c>
      <c r="L22" s="1">
        <f t="shared" si="5"/>
        <v>192012.49912614585</v>
      </c>
      <c r="M22" s="1">
        <f t="shared" si="5"/>
        <v>228747.16562997681</v>
      </c>
    </row>
    <row r="23" spans="1:13" ht="15.75" x14ac:dyDescent="0.25">
      <c r="A23" s="6" t="s">
        <v>59</v>
      </c>
      <c r="B23" s="5"/>
      <c r="C23" s="34"/>
      <c r="D23" s="6">
        <f t="shared" ref="D23:M23" si="6">SUM(D21:D22)</f>
        <v>67971</v>
      </c>
      <c r="E23" s="6">
        <f t="shared" si="6"/>
        <v>81210</v>
      </c>
      <c r="F23" s="6">
        <f t="shared" si="6"/>
        <v>83715</v>
      </c>
      <c r="G23" s="6">
        <f t="shared" si="6"/>
        <v>111070</v>
      </c>
      <c r="H23" s="6">
        <f t="shared" si="6"/>
        <v>139549</v>
      </c>
      <c r="I23" s="6">
        <f t="shared" si="6"/>
        <v>165068.76084273972</v>
      </c>
      <c r="J23" s="6">
        <f t="shared" si="6"/>
        <v>187947.48991736679</v>
      </c>
      <c r="K23" s="6">
        <f t="shared" si="6"/>
        <v>192012.49912614585</v>
      </c>
      <c r="L23" s="6">
        <f t="shared" si="6"/>
        <v>228747.16562997681</v>
      </c>
      <c r="M23" s="6">
        <f t="shared" si="6"/>
        <v>284199.36004708707</v>
      </c>
    </row>
    <row r="24" spans="1:13" ht="15.75" x14ac:dyDescent="0.25">
      <c r="A24" s="4"/>
      <c r="B24" s="1"/>
      <c r="C24" s="2"/>
      <c r="D24" s="20"/>
      <c r="E24" s="20"/>
      <c r="F24" s="20"/>
      <c r="G24" s="20"/>
      <c r="H24" s="20"/>
      <c r="I24" s="1"/>
      <c r="J24" s="1"/>
      <c r="K24" s="1"/>
      <c r="L24" s="1"/>
      <c r="M24" s="1"/>
    </row>
    <row r="25" spans="1:13" ht="15.75" x14ac:dyDescent="0.25">
      <c r="A25" s="4"/>
      <c r="B25" s="1"/>
      <c r="C25" s="2"/>
      <c r="D25" s="20"/>
      <c r="E25" s="3"/>
      <c r="F25" s="3"/>
      <c r="G25" s="3"/>
      <c r="H25" s="3"/>
      <c r="I25" s="1"/>
      <c r="J25" s="1"/>
      <c r="K25" s="1"/>
      <c r="L25" s="1"/>
      <c r="M25" s="1"/>
    </row>
    <row r="26" spans="1:13" ht="15.75" x14ac:dyDescent="0.25">
      <c r="A26" s="1"/>
      <c r="B26" s="1"/>
      <c r="C26" s="2"/>
      <c r="D26" s="3"/>
      <c r="E26" s="3"/>
      <c r="F26" s="3"/>
      <c r="G26" s="3"/>
      <c r="H26" s="3"/>
      <c r="I26" s="1"/>
      <c r="J26" s="1"/>
      <c r="K26" s="1"/>
      <c r="L26" s="1"/>
      <c r="M26" s="1"/>
    </row>
  </sheetData>
  <mergeCells count="2">
    <mergeCell ref="D1:H1"/>
    <mergeCell ref="I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CAAD-DE4F-482B-85CB-CE592923DD3E}">
  <dimension ref="A1:M27"/>
  <sheetViews>
    <sheetView workbookViewId="0">
      <selection activeCell="D11" sqref="D11"/>
    </sheetView>
  </sheetViews>
  <sheetFormatPr defaultRowHeight="15" x14ac:dyDescent="0.25"/>
  <sheetData>
    <row r="1" spans="1:13" ht="15.75" x14ac:dyDescent="0.25">
      <c r="A1" s="36"/>
      <c r="B1" s="37"/>
      <c r="C1" s="38"/>
      <c r="D1" s="58" t="s">
        <v>14</v>
      </c>
      <c r="E1" s="59"/>
      <c r="F1" s="59"/>
      <c r="G1" s="59"/>
      <c r="H1" s="59"/>
      <c r="I1" s="60" t="s">
        <v>15</v>
      </c>
      <c r="J1" s="61"/>
      <c r="K1" s="61"/>
      <c r="L1" s="61"/>
      <c r="M1" s="61"/>
    </row>
    <row r="2" spans="1:13" ht="20.25" x14ac:dyDescent="0.3">
      <c r="A2" s="39"/>
      <c r="B2" s="40"/>
      <c r="C2" s="41"/>
      <c r="D2" s="43">
        <v>2021</v>
      </c>
      <c r="E2" s="43">
        <f t="shared" ref="E2:M2" si="0">+D2+1</f>
        <v>2022</v>
      </c>
      <c r="F2" s="43">
        <f t="shared" si="0"/>
        <v>2023</v>
      </c>
      <c r="G2" s="43">
        <f t="shared" si="0"/>
        <v>2024</v>
      </c>
      <c r="H2" s="43">
        <f t="shared" si="0"/>
        <v>2025</v>
      </c>
      <c r="I2" s="42">
        <f t="shared" si="0"/>
        <v>2026</v>
      </c>
      <c r="J2" s="42">
        <f t="shared" si="0"/>
        <v>2027</v>
      </c>
      <c r="K2" s="42">
        <f t="shared" si="0"/>
        <v>2028</v>
      </c>
      <c r="L2" s="42">
        <f t="shared" si="0"/>
        <v>2029</v>
      </c>
      <c r="M2" s="42">
        <f t="shared" si="0"/>
        <v>2030</v>
      </c>
    </row>
    <row r="4" spans="1:13" ht="21" x14ac:dyDescent="0.25">
      <c r="A4" s="57" t="s">
        <v>60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3" ht="15.75" x14ac:dyDescent="0.25">
      <c r="A5" s="1"/>
      <c r="B5" s="1"/>
      <c r="C5" s="2"/>
      <c r="D5" s="3"/>
      <c r="E5" s="3"/>
      <c r="F5" s="3"/>
      <c r="G5" s="3"/>
      <c r="H5" s="3"/>
      <c r="I5" s="1"/>
      <c r="J5" s="1"/>
      <c r="K5" s="1"/>
      <c r="L5" s="1"/>
      <c r="M5" s="1"/>
    </row>
    <row r="6" spans="1:13" ht="15.75" x14ac:dyDescent="0.25">
      <c r="A6" s="4" t="s">
        <v>61</v>
      </c>
      <c r="B6" s="1"/>
      <c r="C6" s="2"/>
      <c r="D6" s="3"/>
      <c r="E6" s="3"/>
      <c r="F6" s="3"/>
      <c r="G6" s="3"/>
      <c r="H6" s="3"/>
      <c r="I6" s="1"/>
      <c r="J6" s="1"/>
      <c r="K6" s="1"/>
      <c r="L6" s="1"/>
      <c r="M6" s="1"/>
    </row>
    <row r="7" spans="1:13" ht="15.75" x14ac:dyDescent="0.25">
      <c r="A7" s="1" t="s">
        <v>32</v>
      </c>
      <c r="B7" s="1"/>
      <c r="C7" s="2"/>
      <c r="D7" s="1">
        <f>'Balance Sheet'!D8</f>
        <v>5100</v>
      </c>
      <c r="E7" s="1">
        <f>'Balance Sheet'!E8</f>
        <v>5904</v>
      </c>
      <c r="F7" s="1">
        <f>'Balance Sheet'!F8</f>
        <v>6567</v>
      </c>
      <c r="G7" s="1">
        <f>'Balance Sheet'!G8</f>
        <v>7117</v>
      </c>
      <c r="H7" s="1">
        <f>'Balance Sheet'!H8</f>
        <v>7538</v>
      </c>
      <c r="I7" s="1">
        <f>'Balance Sheet'!I8</f>
        <v>8178.8646575342473</v>
      </c>
      <c r="J7" s="1">
        <f>'Balance Sheet'!J8</f>
        <v>8996.7511232876732</v>
      </c>
      <c r="K7" s="1">
        <f>'Balance Sheet'!K8</f>
        <v>9896.42623561644</v>
      </c>
      <c r="L7" s="1">
        <f>'Balance Sheet'!L8</f>
        <v>10886.068859178085</v>
      </c>
      <c r="M7" s="1">
        <f>'Balance Sheet'!M8</f>
        <v>11974.675745095894</v>
      </c>
    </row>
    <row r="8" spans="1:13" ht="15.75" x14ac:dyDescent="0.25">
      <c r="A8" s="1" t="s">
        <v>33</v>
      </c>
      <c r="B8" s="1"/>
      <c r="C8" s="2"/>
      <c r="D8" s="1">
        <f>'Balance Sheet'!D9</f>
        <v>7805</v>
      </c>
      <c r="E8" s="1">
        <f>'Balance Sheet'!E9</f>
        <v>9601</v>
      </c>
      <c r="F8" s="1">
        <f>'Balance Sheet'!F9</f>
        <v>9825</v>
      </c>
      <c r="G8" s="1">
        <f>'Balance Sheet'!G9</f>
        <v>10531</v>
      </c>
      <c r="H8" s="1">
        <f>'Balance Sheet'!H9</f>
        <v>11342</v>
      </c>
      <c r="I8" s="1">
        <f>'Balance Sheet'!I9</f>
        <v>15267.21402739726</v>
      </c>
      <c r="J8" s="1">
        <f>'Balance Sheet'!J9</f>
        <v>21142.365139726033</v>
      </c>
      <c r="K8" s="1">
        <f>'Balance Sheet'!K9</f>
        <v>27490.072876712333</v>
      </c>
      <c r="L8" s="1">
        <f>'Balance Sheet'!L9</f>
        <v>29029.516957808231</v>
      </c>
      <c r="M8" s="1">
        <f>'Balance Sheet'!M9</f>
        <v>27940.910071890423</v>
      </c>
    </row>
    <row r="9" spans="1:13" ht="15.75" x14ac:dyDescent="0.25">
      <c r="A9" s="1" t="s">
        <v>37</v>
      </c>
      <c r="B9" s="1"/>
      <c r="C9" s="2"/>
      <c r="D9" s="1">
        <f>'Balance Sheet'!D14</f>
        <v>3902</v>
      </c>
      <c r="E9" s="1">
        <f>'Balance Sheet'!E14</f>
        <v>4800</v>
      </c>
      <c r="F9" s="1">
        <f>'Balance Sheet'!F14</f>
        <v>4912</v>
      </c>
      <c r="G9" s="1">
        <f>'Balance Sheet'!G14</f>
        <v>5266</v>
      </c>
      <c r="H9" s="1">
        <f>'Balance Sheet'!H14</f>
        <v>5670</v>
      </c>
      <c r="I9" s="1">
        <f>'Balance Sheet'!I14</f>
        <v>7061.086487671233</v>
      </c>
      <c r="J9" s="1">
        <f>'Balance Sheet'!J14</f>
        <v>8691.8612241095907</v>
      </c>
      <c r="K9" s="1">
        <f>'Balance Sheet'!K14</f>
        <v>10171.326964383563</v>
      </c>
      <c r="L9" s="1">
        <f>'Balance Sheet'!L14</f>
        <v>10740.921274389044</v>
      </c>
      <c r="M9" s="1">
        <f>'Balance Sheet'!M14</f>
        <v>10338.136726599456</v>
      </c>
    </row>
    <row r="10" spans="1:13" ht="15.75" x14ac:dyDescent="0.25">
      <c r="A10" s="5" t="s">
        <v>62</v>
      </c>
      <c r="B10" s="5"/>
      <c r="C10" s="34"/>
      <c r="D10" s="5">
        <f t="shared" ref="D10:M10" si="1">D7+D8-D9</f>
        <v>9003</v>
      </c>
      <c r="E10" s="5">
        <f t="shared" si="1"/>
        <v>10705</v>
      </c>
      <c r="F10" s="5">
        <f t="shared" si="1"/>
        <v>11480</v>
      </c>
      <c r="G10" s="5">
        <f t="shared" si="1"/>
        <v>12382</v>
      </c>
      <c r="H10" s="5">
        <f t="shared" si="1"/>
        <v>13210</v>
      </c>
      <c r="I10" s="5">
        <f t="shared" si="1"/>
        <v>16384.992197260275</v>
      </c>
      <c r="J10" s="5">
        <f t="shared" si="1"/>
        <v>21447.255038904113</v>
      </c>
      <c r="K10" s="5">
        <f t="shared" si="1"/>
        <v>27215.172147945214</v>
      </c>
      <c r="L10" s="5">
        <f t="shared" si="1"/>
        <v>29174.664542597275</v>
      </c>
      <c r="M10" s="5">
        <f t="shared" si="1"/>
        <v>29577.449090386865</v>
      </c>
    </row>
    <row r="11" spans="1:13" ht="15.75" x14ac:dyDescent="0.25">
      <c r="A11" s="1" t="s">
        <v>63</v>
      </c>
      <c r="B11" s="1"/>
      <c r="C11" s="2"/>
      <c r="D11" s="1" t="str">
        <f>IF(C10="","n/a",D10-C10)</f>
        <v>n/a</v>
      </c>
      <c r="E11" s="1">
        <f t="shared" ref="D11:M11" si="2">E10-D10</f>
        <v>1702</v>
      </c>
      <c r="F11" s="1">
        <f t="shared" si="2"/>
        <v>775</v>
      </c>
      <c r="G11" s="1">
        <f t="shared" si="2"/>
        <v>902</v>
      </c>
      <c r="H11" s="1">
        <f t="shared" si="2"/>
        <v>828</v>
      </c>
      <c r="I11" s="1">
        <f t="shared" si="2"/>
        <v>3174.9921972602751</v>
      </c>
      <c r="J11" s="1">
        <f t="shared" si="2"/>
        <v>5062.2628416438383</v>
      </c>
      <c r="K11" s="1">
        <f t="shared" si="2"/>
        <v>5767.9171090411</v>
      </c>
      <c r="L11" s="1">
        <f t="shared" si="2"/>
        <v>1959.4923946520612</v>
      </c>
      <c r="M11" s="1">
        <f t="shared" si="2"/>
        <v>402.78454778958985</v>
      </c>
    </row>
    <row r="12" spans="1:13" ht="15.75" x14ac:dyDescent="0.25">
      <c r="A12" s="1"/>
      <c r="B12" s="1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.75" x14ac:dyDescent="0.25">
      <c r="A13" s="4" t="s">
        <v>64</v>
      </c>
      <c r="B13" s="1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x14ac:dyDescent="0.25">
      <c r="A14" s="1" t="s">
        <v>65</v>
      </c>
      <c r="B14" s="1"/>
      <c r="C14" s="2"/>
      <c r="D14" s="3">
        <v>50000.000000000007</v>
      </c>
      <c r="E14" s="1">
        <f t="shared" ref="E14:M14" si="3">D17</f>
        <v>45500.000000000007</v>
      </c>
      <c r="F14" s="1">
        <f t="shared" si="3"/>
        <v>42350.000000000007</v>
      </c>
      <c r="G14" s="1">
        <f t="shared" si="3"/>
        <v>40145.000000000007</v>
      </c>
      <c r="H14" s="1">
        <f t="shared" si="3"/>
        <v>38601.000000000007</v>
      </c>
      <c r="I14" s="1">
        <f t="shared" si="3"/>
        <v>37521.000000000007</v>
      </c>
      <c r="J14" s="1">
        <f t="shared" si="3"/>
        <v>39388.650000000009</v>
      </c>
      <c r="K14" s="1">
        <f t="shared" si="3"/>
        <v>40602.622500000005</v>
      </c>
      <c r="L14" s="1">
        <f t="shared" si="3"/>
        <v>41391.704625000006</v>
      </c>
      <c r="M14" s="1">
        <f t="shared" si="3"/>
        <v>41904.608006250004</v>
      </c>
    </row>
    <row r="15" spans="1:13" ht="15.75" x14ac:dyDescent="0.25">
      <c r="A15" s="1" t="s">
        <v>66</v>
      </c>
      <c r="B15" s="1"/>
      <c r="C15" s="2"/>
      <c r="D15" s="1">
        <f>'Cash Flow Statement'!D13</f>
        <v>15000</v>
      </c>
      <c r="E15" s="1">
        <f>'Cash Flow Statement'!E13</f>
        <v>15000</v>
      </c>
      <c r="F15" s="1">
        <f>'Cash Flow Statement'!F13</f>
        <v>15000</v>
      </c>
      <c r="G15" s="1">
        <f>'Cash Flow Statement'!G13</f>
        <v>15000</v>
      </c>
      <c r="H15" s="1">
        <f>'Cash Flow Statement'!H13</f>
        <v>15000</v>
      </c>
      <c r="I15" s="1">
        <f>Assumptions!I19</f>
        <v>15000</v>
      </c>
      <c r="J15" s="1">
        <f>Assumptions!J19</f>
        <v>15000</v>
      </c>
      <c r="K15" s="1">
        <f>Assumptions!K19</f>
        <v>15000</v>
      </c>
      <c r="L15" s="1">
        <f>Assumptions!L19</f>
        <v>15000</v>
      </c>
      <c r="M15" s="1">
        <f>Assumptions!M19</f>
        <v>15000</v>
      </c>
    </row>
    <row r="16" spans="1:13" ht="15.75" x14ac:dyDescent="0.25">
      <c r="A16" s="1" t="s">
        <v>67</v>
      </c>
      <c r="B16" s="1"/>
      <c r="C16" s="28"/>
      <c r="D16" s="1">
        <f>'Cash Flow Statement'!D8</f>
        <v>19500</v>
      </c>
      <c r="E16" s="1">
        <f>'Cash Flow Statement'!E8</f>
        <v>18150</v>
      </c>
      <c r="F16" s="1">
        <f>'Cash Flow Statement'!F8</f>
        <v>17205</v>
      </c>
      <c r="G16" s="1">
        <f>'Cash Flow Statement'!G8</f>
        <v>16544</v>
      </c>
      <c r="H16" s="1">
        <f>'Cash Flow Statement'!H8</f>
        <v>16080</v>
      </c>
      <c r="I16" s="1">
        <f>I14*Assumptions!I12</f>
        <v>13132.350000000002</v>
      </c>
      <c r="J16" s="1">
        <f>J14*Assumptions!J12</f>
        <v>13786.027500000002</v>
      </c>
      <c r="K16" s="1">
        <f>K14*Assumptions!K12</f>
        <v>14210.917875000001</v>
      </c>
      <c r="L16" s="1">
        <f>L14*Assumptions!L12</f>
        <v>14487.096618750002</v>
      </c>
      <c r="M16" s="1">
        <f>M14*Assumptions!M12</f>
        <v>14666.612802187501</v>
      </c>
    </row>
    <row r="17" spans="1:13" ht="15.75" x14ac:dyDescent="0.25">
      <c r="A17" s="5" t="s">
        <v>68</v>
      </c>
      <c r="B17" s="5"/>
      <c r="C17" s="34"/>
      <c r="D17" s="5">
        <f t="shared" ref="D17:M17" si="4">D14+D15-D16</f>
        <v>45500.000000000007</v>
      </c>
      <c r="E17" s="5">
        <f t="shared" si="4"/>
        <v>42350.000000000007</v>
      </c>
      <c r="F17" s="5">
        <f t="shared" si="4"/>
        <v>40145.000000000007</v>
      </c>
      <c r="G17" s="5">
        <f t="shared" si="4"/>
        <v>38601.000000000007</v>
      </c>
      <c r="H17" s="5">
        <f t="shared" si="4"/>
        <v>37521.000000000007</v>
      </c>
      <c r="I17" s="5">
        <f t="shared" si="4"/>
        <v>39388.650000000009</v>
      </c>
      <c r="J17" s="5">
        <f t="shared" si="4"/>
        <v>40602.622500000005</v>
      </c>
      <c r="K17" s="5">
        <f t="shared" si="4"/>
        <v>41391.704625000006</v>
      </c>
      <c r="L17" s="5">
        <f t="shared" si="4"/>
        <v>41904.608006250004</v>
      </c>
      <c r="M17" s="5">
        <f t="shared" si="4"/>
        <v>42237.995204062507</v>
      </c>
    </row>
    <row r="18" spans="1:13" ht="15.75" x14ac:dyDescent="0.25">
      <c r="A18" s="1"/>
      <c r="B18" s="1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75" x14ac:dyDescent="0.25">
      <c r="A19" s="4" t="s">
        <v>69</v>
      </c>
      <c r="B19" s="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x14ac:dyDescent="0.25">
      <c r="A20" s="1" t="s">
        <v>70</v>
      </c>
      <c r="B20" s="1"/>
      <c r="C20" s="2"/>
      <c r="D20" s="3">
        <v>50000.000000000007</v>
      </c>
      <c r="E20" s="1">
        <f t="shared" ref="E20:M20" si="5">D22</f>
        <v>50000.000000000007</v>
      </c>
      <c r="F20" s="1">
        <f t="shared" si="5"/>
        <v>50000.000000000007</v>
      </c>
      <c r="G20" s="1">
        <f t="shared" si="5"/>
        <v>30000.000000000007</v>
      </c>
      <c r="H20" s="1">
        <f t="shared" si="5"/>
        <v>30000.000000000007</v>
      </c>
      <c r="I20" s="1">
        <f t="shared" si="5"/>
        <v>30000.000000000007</v>
      </c>
      <c r="J20" s="1">
        <f t="shared" si="5"/>
        <v>30000.000000000007</v>
      </c>
      <c r="K20" s="1">
        <f t="shared" si="5"/>
        <v>30000.000000000007</v>
      </c>
      <c r="L20" s="1">
        <f t="shared" si="5"/>
        <v>10000.000000000007</v>
      </c>
      <c r="M20" s="1">
        <f t="shared" si="5"/>
        <v>10000.000000000007</v>
      </c>
    </row>
    <row r="21" spans="1:13" ht="15.75" x14ac:dyDescent="0.25">
      <c r="A21" s="1" t="s">
        <v>71</v>
      </c>
      <c r="B21" s="1"/>
      <c r="C21" s="2"/>
      <c r="D21" s="1">
        <f>'Cash Flow Statement'!D17</f>
        <v>0</v>
      </c>
      <c r="E21" s="1">
        <f>'Cash Flow Statement'!E17</f>
        <v>0</v>
      </c>
      <c r="F21" s="1">
        <f>'Cash Flow Statement'!F17</f>
        <v>-20000</v>
      </c>
      <c r="G21" s="1">
        <f>'Cash Flow Statement'!G17</f>
        <v>0</v>
      </c>
      <c r="H21" s="1">
        <f>'Cash Flow Statement'!H17</f>
        <v>0</v>
      </c>
      <c r="I21" s="1">
        <f>Assumptions!I20</f>
        <v>0</v>
      </c>
      <c r="J21" s="1">
        <f>Assumptions!J20</f>
        <v>0</v>
      </c>
      <c r="K21" s="1">
        <f>Assumptions!K20</f>
        <v>-20000</v>
      </c>
      <c r="L21" s="1">
        <f>Assumptions!L20</f>
        <v>0</v>
      </c>
      <c r="M21" s="1">
        <f>Assumptions!M20</f>
        <v>0</v>
      </c>
    </row>
    <row r="22" spans="1:13" ht="15.75" x14ac:dyDescent="0.25">
      <c r="A22" s="5" t="s">
        <v>72</v>
      </c>
      <c r="B22" s="5"/>
      <c r="C22" s="34"/>
      <c r="D22" s="5">
        <f t="shared" ref="D22:M22" si="6">D20+D21</f>
        <v>50000.000000000007</v>
      </c>
      <c r="E22" s="5">
        <f t="shared" si="6"/>
        <v>50000.000000000007</v>
      </c>
      <c r="F22" s="5">
        <f t="shared" si="6"/>
        <v>30000.000000000007</v>
      </c>
      <c r="G22" s="5">
        <f t="shared" si="6"/>
        <v>30000.000000000007</v>
      </c>
      <c r="H22" s="5">
        <f t="shared" si="6"/>
        <v>30000.000000000007</v>
      </c>
      <c r="I22" s="5">
        <f t="shared" si="6"/>
        <v>30000.000000000007</v>
      </c>
      <c r="J22" s="5">
        <f t="shared" si="6"/>
        <v>30000.000000000007</v>
      </c>
      <c r="K22" s="5">
        <f t="shared" si="6"/>
        <v>10000.000000000007</v>
      </c>
      <c r="L22" s="5">
        <f t="shared" si="6"/>
        <v>10000.000000000007</v>
      </c>
      <c r="M22" s="5">
        <f t="shared" si="6"/>
        <v>10000.000000000007</v>
      </c>
    </row>
    <row r="23" spans="1:13" ht="15.75" x14ac:dyDescent="0.25">
      <c r="A23" s="1" t="s">
        <v>73</v>
      </c>
      <c r="B23" s="1"/>
      <c r="C23" s="28"/>
      <c r="D23" s="1">
        <f>'Income Statement'!D14</f>
        <v>2500</v>
      </c>
      <c r="E23" s="1">
        <f>'Income Statement'!E14</f>
        <v>2500</v>
      </c>
      <c r="F23" s="1">
        <f>'Income Statement'!F14</f>
        <v>1500</v>
      </c>
      <c r="G23" s="1">
        <f>'Income Statement'!G14</f>
        <v>1500</v>
      </c>
      <c r="H23" s="1">
        <f>'Income Statement'!H14</f>
        <v>1500</v>
      </c>
      <c r="I23" s="1">
        <f>AVERAGE(I20,I22)*Assumptions!I13</f>
        <v>3000.0000000000009</v>
      </c>
      <c r="J23" s="1">
        <f>AVERAGE(J20,J22)*Assumptions!J13</f>
        <v>3000.0000000000009</v>
      </c>
      <c r="K23" s="1">
        <f>AVERAGE(K20,K22)*Assumptions!K13</f>
        <v>2000.0000000000009</v>
      </c>
      <c r="L23" s="1">
        <f>AVERAGE(L20,L22)*Assumptions!L13</f>
        <v>1000.0000000000008</v>
      </c>
      <c r="M23" s="1">
        <f>AVERAGE(M20,M22)*Assumptions!M13</f>
        <v>1000.0000000000008</v>
      </c>
    </row>
    <row r="24" spans="1:13" ht="15.75" x14ac:dyDescent="0.25">
      <c r="A24" s="1"/>
      <c r="B24" s="1"/>
      <c r="C24" s="2"/>
      <c r="D24" s="3"/>
      <c r="E24" s="3"/>
      <c r="F24" s="3"/>
      <c r="G24" s="3"/>
      <c r="H24" s="3"/>
      <c r="I24" s="1"/>
      <c r="J24" s="1"/>
      <c r="K24" s="1"/>
      <c r="L24" s="1"/>
      <c r="M24" s="1"/>
    </row>
    <row r="25" spans="1:13" ht="15.75" x14ac:dyDescent="0.25">
      <c r="A25" s="62" t="s">
        <v>95</v>
      </c>
      <c r="B25" s="63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x14ac:dyDescent="0.25">
      <c r="A26" s="63" t="s">
        <v>96</v>
      </c>
      <c r="B26" s="63"/>
      <c r="C26" s="64"/>
      <c r="D26" s="63">
        <f>'Cash Flow Statement'!D22</f>
        <v>0</v>
      </c>
      <c r="E26" s="63">
        <f>'Cash Flow Statement'!E22</f>
        <v>67971</v>
      </c>
      <c r="F26" s="63">
        <f>'Cash Flow Statement'!F22</f>
        <v>81210</v>
      </c>
      <c r="G26" s="63">
        <f>'Cash Flow Statement'!G22</f>
        <v>83715</v>
      </c>
      <c r="H26" s="63">
        <f>'Cash Flow Statement'!H22</f>
        <v>111070</v>
      </c>
      <c r="I26" s="63">
        <f>'Cash Flow Statement'!I22</f>
        <v>139549</v>
      </c>
      <c r="J26" s="63">
        <f>'Cash Flow Statement'!J22</f>
        <v>165068.76084273972</v>
      </c>
      <c r="K26" s="63">
        <f>'Cash Flow Statement'!K22</f>
        <v>187947.48991736679</v>
      </c>
      <c r="L26" s="63">
        <f>'Cash Flow Statement'!L22</f>
        <v>192012.49912614585</v>
      </c>
      <c r="M26" s="63">
        <f>'Cash Flow Statement'!M22</f>
        <v>228747.16562997681</v>
      </c>
    </row>
    <row r="27" spans="1:13" ht="15.75" x14ac:dyDescent="0.25">
      <c r="A27" s="63" t="s">
        <v>97</v>
      </c>
      <c r="B27" s="65"/>
      <c r="C27" s="65"/>
      <c r="D27" s="63">
        <f>-'Income Statement'!D13</f>
        <v>0</v>
      </c>
      <c r="E27" s="63">
        <f>-'Income Statement'!E13</f>
        <v>0</v>
      </c>
      <c r="F27" s="63">
        <f>-'Income Statement'!F13</f>
        <v>0</v>
      </c>
      <c r="G27" s="63">
        <f>-'Income Statement'!G13</f>
        <v>0</v>
      </c>
      <c r="H27" s="63">
        <f>-'Income Statement'!H13</f>
        <v>0</v>
      </c>
      <c r="I27" s="63">
        <f>I26*Assumptions!I14</f>
        <v>5581.96</v>
      </c>
      <c r="J27" s="63">
        <f>J26*Assumptions!J14</f>
        <v>6602.7504337095888</v>
      </c>
      <c r="K27" s="63">
        <f>K26*Assumptions!K14</f>
        <v>7517.8995966946723</v>
      </c>
      <c r="L27" s="63">
        <f>L26*Assumptions!L14</f>
        <v>7680.499965045834</v>
      </c>
      <c r="M27" s="63">
        <f>M26*Assumptions!M14</f>
        <v>9149.886625199073</v>
      </c>
    </row>
  </sheetData>
  <mergeCells count="2">
    <mergeCell ref="D1:H1"/>
    <mergeCell ref="I1: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D3BE-3A9A-4122-940D-CF042EB5B1D7}">
  <dimension ref="A1:D21"/>
  <sheetViews>
    <sheetView workbookViewId="0">
      <selection activeCell="B19" sqref="B19"/>
    </sheetView>
  </sheetViews>
  <sheetFormatPr defaultRowHeight="15" x14ac:dyDescent="0.25"/>
  <cols>
    <col min="1" max="1" width="91.42578125" customWidth="1"/>
    <col min="2" max="4" width="19" customWidth="1"/>
  </cols>
  <sheetData>
    <row r="1" spans="1:4" ht="20.25" x14ac:dyDescent="0.3">
      <c r="A1" s="44" t="s">
        <v>76</v>
      </c>
      <c r="B1" s="45"/>
      <c r="C1" s="45"/>
      <c r="D1" s="45"/>
    </row>
    <row r="2" spans="1:4" x14ac:dyDescent="0.25">
      <c r="A2" s="46" t="s">
        <v>77</v>
      </c>
    </row>
    <row r="4" spans="1:4" ht="21" x14ac:dyDescent="0.25">
      <c r="A4" s="57" t="s">
        <v>78</v>
      </c>
      <c r="B4" s="56"/>
      <c r="C4" s="56"/>
      <c r="D4" s="56"/>
    </row>
    <row r="5" spans="1:4" ht="16.5" x14ac:dyDescent="0.3">
      <c r="A5" s="48" t="s">
        <v>79</v>
      </c>
      <c r="B5" s="49" t="s">
        <v>80</v>
      </c>
      <c r="C5" s="49" t="s">
        <v>81</v>
      </c>
      <c r="D5" s="49" t="s">
        <v>82</v>
      </c>
    </row>
    <row r="6" spans="1:4" ht="16.5" x14ac:dyDescent="0.3">
      <c r="A6" s="47" t="s">
        <v>83</v>
      </c>
      <c r="B6" s="50">
        <f>'Income Statement'!H6</f>
        <v>150772</v>
      </c>
      <c r="C6" s="50">
        <f>'Income Statement'!M6</f>
        <v>242819.81372000009</v>
      </c>
      <c r="D6" s="51">
        <f>C6/B6-1</f>
        <v>0.61051000000000055</v>
      </c>
    </row>
    <row r="7" spans="1:4" ht="16.5" x14ac:dyDescent="0.3">
      <c r="A7" s="47" t="s">
        <v>99</v>
      </c>
      <c r="C7" s="51">
        <f>(C6/B6)^(1/5)-1</f>
        <v>0.10000000000000009</v>
      </c>
    </row>
    <row r="8" spans="1:4" ht="16.5" x14ac:dyDescent="0.3">
      <c r="A8" s="47" t="s">
        <v>84</v>
      </c>
      <c r="B8" s="50">
        <f>'Income Statement'!H19</f>
        <v>28227</v>
      </c>
      <c r="C8" s="50">
        <f>'Income Statement'!M19</f>
        <v>56188.366162712351</v>
      </c>
      <c r="D8" s="51">
        <f>C8/B8-1</f>
        <v>0.99058937055699681</v>
      </c>
    </row>
    <row r="9" spans="1:4" ht="16.5" x14ac:dyDescent="0.3">
      <c r="A9" s="47" t="s">
        <v>85</v>
      </c>
      <c r="B9" s="52">
        <f>Assumptions!H27</f>
        <v>0.62386915342371263</v>
      </c>
      <c r="C9" s="52">
        <f>Assumptions!M27</f>
        <v>0.57999999999999996</v>
      </c>
      <c r="D9" s="51">
        <f>C9-B9</f>
        <v>-4.386915342371267E-2</v>
      </c>
    </row>
    <row r="10" spans="1:4" ht="16.5" x14ac:dyDescent="0.3">
      <c r="A10" s="47" t="s">
        <v>86</v>
      </c>
      <c r="B10" s="50">
        <f>'Cash Flow Statement'!H23</f>
        <v>139549</v>
      </c>
      <c r="C10" s="50">
        <f>'Cash Flow Statement'!M23</f>
        <v>284199.36004708707</v>
      </c>
      <c r="D10" s="51">
        <f>C10/B10-1</f>
        <v>1.0365560487505254</v>
      </c>
    </row>
    <row r="11" spans="1:4" ht="16.5" x14ac:dyDescent="0.3">
      <c r="A11" s="47" t="s">
        <v>87</v>
      </c>
      <c r="B11" s="50">
        <f>'Balance Sheet'!H15</f>
        <v>30000</v>
      </c>
      <c r="C11" s="50">
        <f>'Balance Sheet'!M15</f>
        <v>10000.000000000007</v>
      </c>
      <c r="D11" s="51">
        <f>C11/B11-1</f>
        <v>-0.66666666666666641</v>
      </c>
    </row>
    <row r="12" spans="1:4" ht="16.5" x14ac:dyDescent="0.3">
      <c r="A12" s="47" t="s">
        <v>88</v>
      </c>
      <c r="B12" s="50">
        <f>'Balance Sheet'!H11</f>
        <v>195950</v>
      </c>
      <c r="C12" s="50">
        <f>'Balance Sheet'!M11</f>
        <v>366352.94106813584</v>
      </c>
      <c r="D12" s="51">
        <f>C12/B12-1</f>
        <v>0.86962460356282634</v>
      </c>
    </row>
    <row r="13" spans="1:4" ht="16.5" x14ac:dyDescent="0.3">
      <c r="A13" s="53" t="s">
        <v>89</v>
      </c>
      <c r="B13" s="54" cm="1">
        <f t="array" ref="B13">IF(COUNT('Balance Sheet'!D23:M23)&lt;10,"CHECK BROKEN",SUMPRODUCT(ABS('Balance Sheet'!D23:M23)))</f>
        <v>0</v>
      </c>
    </row>
    <row r="15" spans="1:4" ht="21" x14ac:dyDescent="0.25">
      <c r="A15" s="57" t="s">
        <v>90</v>
      </c>
      <c r="B15" s="56"/>
      <c r="C15" s="56"/>
      <c r="D15" s="56"/>
    </row>
    <row r="16" spans="1:4" ht="16.5" x14ac:dyDescent="0.3">
      <c r="A16" s="47" t="str">
        <f>"• Revenue grows steadily across the forecast, at roughly a "&amp;TEXT(C7,"0%")&amp;" annual rate."</f>
        <v>• Revenue grows steadily across the forecast, at roughly a 10% annual rate.</v>
      </c>
    </row>
    <row r="17" spans="1:1" ht="16.5" x14ac:dyDescent="0.3">
      <c r="A17" s="47" t="str">
        <f>"• Net earnings grow "&amp;TEXT(D8,"0%")&amp;" over the period, "&amp;IF(D9&gt;=0,"aided by expanding margins.","even as gross margin compresses slightly — worth a closer look.")</f>
        <v>• Net earnings grow 99% over the period, even as gross margin compresses slightly — worth a closer look.</v>
      </c>
    </row>
    <row r="18" spans="1:1" ht="16.5" x14ac:dyDescent="0.3">
      <c r="A18" s="47" t="s">
        <v>91</v>
      </c>
    </row>
    <row r="19" spans="1:1" ht="16.5" x14ac:dyDescent="0.3">
      <c r="A19" s="47" t="str" cm="1">
        <f t="array" ref="A19">IF(AND(COUNT('Balance Sheet'!D23:M23)=10,SUMPRODUCT(ABS('Balance Sheet'!D23:M23))&lt;=1),"• The model ties out cleanly — Assets equal Liabilities + Equity in every year.","• WARNING: the balance sheet does not tie out in every year — see the check row.")</f>
        <v>• The model ties out cleanly — Assets equal Liabilities + Equity in every year.</v>
      </c>
    </row>
    <row r="20" spans="1:1" ht="16.5" x14ac:dyDescent="0.3">
      <c r="A20" s="47"/>
    </row>
    <row r="21" spans="1:1" ht="16.5" x14ac:dyDescent="0.3">
      <c r="A21" s="4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 Statement</vt:lpstr>
      <vt:lpstr>Supporting Schedules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Rudenski</dc:creator>
  <cp:lastModifiedBy>Kevin Rudenski</cp:lastModifiedBy>
  <dcterms:created xsi:type="dcterms:W3CDTF">2026-08-30T19:09:34Z</dcterms:created>
  <dcterms:modified xsi:type="dcterms:W3CDTF">2026-09-01T14:51:21Z</dcterms:modified>
</cp:coreProperties>
</file>